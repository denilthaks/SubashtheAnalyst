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1c23a2d047e299d/ドキュメント/personal/International Business in the Global Economy/"/>
    </mc:Choice>
  </mc:AlternateContent>
  <xr:revisionPtr revIDLastSave="59" documentId="11_BF5DA5340156BFE8DE365221CC700A805DAFBA58" xr6:coauthVersionLast="47" xr6:coauthVersionMax="47" xr10:uidLastSave="{A7407AD0-479D-4CEF-9ADB-00CF2D424631}"/>
  <bookViews>
    <workbookView xWindow="-110" yWindow="-110" windowWidth="19420" windowHeight="11500" activeTab="3" xr2:uid="{00000000-000D-0000-FFFF-FFFF00000000}"/>
  </bookViews>
  <sheets>
    <sheet name="Overview" sheetId="1" r:id="rId1"/>
    <sheet name="Starbucks" sheetId="2" r:id="rId2"/>
    <sheet name="Nepal" sheetId="3" r:id="rId3"/>
    <sheet name="Strategy" sheetId="4" r:id="rId4"/>
    <sheet name="Sources" sheetId="5" r:id="rId5"/>
    <sheet name="_calc" sheetId="6" state="hidden" r:id="rId6"/>
    <sheet name="Starbucks Financial data" sheetId="7" r:id="rId7"/>
    <sheet name="2_Nepal_Macroeconomic" sheetId="8" r:id="rId8"/>
    <sheet name="3_Nepal_Coffee" sheetId="9" r:id="rId9"/>
    <sheet name="4_Hofstede" sheetId="10" r:id="rId10"/>
    <sheet name="5_RBV_VRIN" sheetId="11" r:id="rId11"/>
    <sheet name="6_OLI" sheetId="12" r:id="rId12"/>
    <sheet name="7_Entry_Mode" sheetId="13" r:id="rId13"/>
    <sheet name="8_FITTA_FDI" sheetId="14" r:id="rId14"/>
    <sheet name="9_SDG_Data" sheetId="15" r:id="rId15"/>
    <sheet name="10_Citation_Audit" sheetId="16" r:id="rId16"/>
    <sheet name="11_Derived_Calcs" sheetId="17" r:id="rId17"/>
    <sheet name="12_Verification_Exceptions" sheetId="18" r:id="rId18"/>
  </sheets>
  <definedNames>
    <definedName name="_xlnm.Print_Area" localSheetId="2">Nepal!$A$1:$Y$60</definedName>
    <definedName name="_xlnm.Print_Area" localSheetId="0">Overview!$A$1:$Y$60</definedName>
    <definedName name="_xlnm.Print_Area" localSheetId="4">Sources!$A$1:$Y$60</definedName>
    <definedName name="_xlnm.Print_Area" localSheetId="1">Starbucks!$A$1:$Y$60</definedName>
    <definedName name="_xlnm.Print_Area" localSheetId="3">Strategy!$A$1:$Y$60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6" l="1"/>
  <c r="B48" i="6"/>
  <c r="C47" i="6"/>
  <c r="B47" i="6"/>
  <c r="C46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28" i="6"/>
  <c r="B27" i="6"/>
  <c r="B26" i="6"/>
  <c r="C23" i="6"/>
  <c r="B23" i="6"/>
  <c r="A23" i="6"/>
  <c r="C22" i="6"/>
  <c r="B22" i="6"/>
  <c r="A22" i="6"/>
  <c r="C21" i="6"/>
  <c r="B21" i="6"/>
  <c r="A21" i="6"/>
  <c r="C20" i="6"/>
  <c r="B20" i="6"/>
  <c r="A20" i="6"/>
  <c r="C16" i="6"/>
  <c r="B16" i="6"/>
  <c r="B15" i="6"/>
  <c r="B14" i="6"/>
  <c r="B11" i="6"/>
  <c r="B10" i="6"/>
  <c r="B9" i="6"/>
  <c r="B8" i="6"/>
  <c r="B7" i="6"/>
  <c r="B6" i="6"/>
  <c r="B5" i="6"/>
  <c r="B4" i="6"/>
  <c r="B3" i="6"/>
  <c r="B2" i="6"/>
  <c r="B1" i="6"/>
</calcChain>
</file>

<file path=xl/sharedStrings.xml><?xml version="1.0" encoding="utf-8"?>
<sst xmlns="http://schemas.openxmlformats.org/spreadsheetml/2006/main" count="562" uniqueCount="351">
  <si>
    <t>Stores (text)</t>
  </si>
  <si>
    <t>Revenue (text)</t>
  </si>
  <si>
    <t>Margin (text)</t>
  </si>
  <si>
    <t>Margin sub</t>
  </si>
  <si>
    <t>US+China share (text)</t>
  </si>
  <si>
    <t>Population (text)</t>
  </si>
  <si>
    <t>GDP per capita (text)</t>
  </si>
  <si>
    <t>Affordability sub</t>
  </si>
  <si>
    <t>GDP growth (text)</t>
  </si>
  <si>
    <t>Growth sub</t>
  </si>
  <si>
    <t>Coffee gap (text)</t>
  </si>
  <si>
    <t>Chart data - coffee (tonnes)</t>
  </si>
  <si>
    <t>Consumption</t>
  </si>
  <si>
    <t>Production</t>
  </si>
  <si>
    <t>Imports</t>
  </si>
  <si>
    <t>Stack 1 = value / low est.; Stack 2 = upper estimate range</t>
  </si>
  <si>
    <t>Chart data - Hofstede (Nepal, US)</t>
  </si>
  <si>
    <t>Chart data - stores</t>
  </si>
  <si>
    <t>US</t>
  </si>
  <si>
    <t>China</t>
  </si>
  <si>
    <t>Rest of world</t>
  </si>
  <si>
    <t>Boyu target (text)</t>
  </si>
  <si>
    <t>Global comp sales</t>
  </si>
  <si>
    <t>NA comp sales</t>
  </si>
  <si>
    <t>Partner labour investment</t>
  </si>
  <si>
    <t>Bean Stock</t>
  </si>
  <si>
    <t>Global comparable sales</t>
  </si>
  <si>
    <t>North America</t>
  </si>
  <si>
    <t>Boyu Capital</t>
  </si>
  <si>
    <t>Starbucks</t>
  </si>
  <si>
    <t>GDP (text)</t>
  </si>
  <si>
    <t>Unemployment (text)</t>
  </si>
  <si>
    <t>Remittances (text)</t>
  </si>
  <si>
    <t>Tourists (text)</t>
  </si>
  <si>
    <t>Hydropower (text)</t>
  </si>
  <si>
    <t>2025 / FY2025</t>
  </si>
  <si>
    <t>FY2026</t>
  </si>
  <si>
    <t>FY2027</t>
  </si>
  <si>
    <t>← Back to Overview</t>
  </si>
  <si>
    <t>Starbucks Corporation — FY2025 Financial Data</t>
  </si>
  <si>
    <t>Metric</t>
  </si>
  <si>
    <t>Value</t>
  </si>
  <si>
    <t>Unit</t>
  </si>
  <si>
    <t>Source</t>
  </si>
  <si>
    <t>Total stores globally</t>
  </si>
  <si>
    <t>stores</t>
  </si>
  <si>
    <t>Starbucks (2025a)</t>
  </si>
  <si>
    <t>Net revenue</t>
  </si>
  <si>
    <t>US$ billion</t>
  </si>
  <si>
    <t>GAAP operating margin</t>
  </si>
  <si>
    <t>%</t>
  </si>
  <si>
    <t>Margin contraction</t>
  </si>
  <si>
    <t>basis points</t>
  </si>
  <si>
    <t>Global comparable store sales</t>
  </si>
  <si>
    <t>% change</t>
  </si>
  <si>
    <t>North America comparable store sales</t>
  </si>
  <si>
    <t>US stores</t>
  </si>
  <si>
    <t>China stores</t>
  </si>
  <si>
    <t>US + China share of portfolio</t>
  </si>
  <si>
    <t>US$ million</t>
  </si>
  <si>
    <t>Starbucks (2025c)</t>
  </si>
  <si>
    <t>Bean Stock recipients</t>
  </si>
  <si>
    <t>partners (2024)</t>
  </si>
  <si>
    <t>Starbucks (2025b)</t>
  </si>
  <si>
    <t>Boyu JV — Boyu stake</t>
  </si>
  <si>
    <t>Starbucks (2026a)</t>
  </si>
  <si>
    <t>Boyu JV — Starbucks stake</t>
  </si>
  <si>
    <t>Boyu JV — China growth target</t>
  </si>
  <si>
    <t>Source: Starbucks investor relations and corporate communications, FY2025.</t>
  </si>
  <si>
    <t>Nepal — Macroeconomic Indicators</t>
  </si>
  <si>
    <t>Indicator</t>
  </si>
  <si>
    <t>Period</t>
  </si>
  <si>
    <t>Population</t>
  </si>
  <si>
    <t>people</t>
  </si>
  <si>
    <t>2025</t>
  </si>
  <si>
    <t>World Bank (2025)</t>
  </si>
  <si>
    <t>GDP per capita</t>
  </si>
  <si>
    <t>US$</t>
  </si>
  <si>
    <t>GDP</t>
  </si>
  <si>
    <t>GDP growth</t>
  </si>
  <si>
    <t>GDP growth projection</t>
  </si>
  <si>
    <t>World Bank (2026)</t>
  </si>
  <si>
    <t>GDP growth projection (avg)</t>
  </si>
  <si>
    <t>FY2027–FY2028</t>
  </si>
  <si>
    <t>Inflation</t>
  </si>
  <si>
    <t>FY2025</t>
  </si>
  <si>
    <t>Inflation projection</t>
  </si>
  <si>
    <t>Unemployment</t>
  </si>
  <si>
    <t>Personal remittances</t>
  </si>
  <si>
    <t>% of GDP</t>
  </si>
  <si>
    <t>2024</t>
  </si>
  <si>
    <t>September 2025 unrest losses</t>
  </si>
  <si>
    <t>Hydropower added</t>
  </si>
  <si>
    <t>MW</t>
  </si>
  <si>
    <t>H1FY2026</t>
  </si>
  <si>
    <t>Currency peg</t>
  </si>
  <si>
    <t>Indian rupee</t>
  </si>
  <si>
    <t>—</t>
  </si>
  <si>
    <t>Current</t>
  </si>
  <si>
    <t>International tourist arrivals</t>
  </si>
  <si>
    <t>visitors</t>
  </si>
  <si>
    <t>Nepal Tourism Board</t>
  </si>
  <si>
    <t>Source: World Bank Nepal Development Update (April 2026); World Bank Open Data.</t>
  </si>
  <si>
    <t>Nepal — Coffee Supply, Demand and Constraints</t>
  </si>
  <si>
    <t>Source / Note</t>
  </si>
  <si>
    <t>Domestic consumption</t>
  </si>
  <si>
    <t>metric tons/year</t>
  </si>
  <si>
    <t>Lamichhane and Malla (2025)</t>
  </si>
  <si>
    <t>Domestic production</t>
  </si>
  <si>
    <t>metric tons (2024–25)</t>
  </si>
  <si>
    <t>Imports (low estimate)</t>
  </si>
  <si>
    <t>Imports (high estimate)</t>
  </si>
  <si>
    <t>Supply gap (author's calc)</t>
  </si>
  <si>
    <t>metric tons</t>
  </si>
  <si>
    <t>Author's calculation: 1800 − 586</t>
  </si>
  <si>
    <t>Chemical fertiliser ban</t>
  </si>
  <si>
    <t>Yes</t>
  </si>
  <si>
    <t>National Coffee Policy 2003</t>
  </si>
  <si>
    <t>Café culture boom</t>
  </si>
  <si>
    <t>Third-wave coffee movement</t>
  </si>
  <si>
    <t>Source: Lamichhane, R. and Malla, B. (2025) 'Brewing change in Nepali coffee', The Kathmandu Post.</t>
  </si>
  <si>
    <t>Hofstede Cultural Dimensions — Nepal vs United States</t>
  </si>
  <si>
    <t>Dimension</t>
  </si>
  <si>
    <t>Nepal</t>
  </si>
  <si>
    <t>United States</t>
  </si>
  <si>
    <t>Gap (Nepal − US)</t>
  </si>
  <si>
    <t>Available</t>
  </si>
  <si>
    <t>Power distance</t>
  </si>
  <si>
    <t>Culture Factor Group (2026)</t>
  </si>
  <si>
    <t>Individualism</t>
  </si>
  <si>
    <t>Motivation towards achievement</t>
  </si>
  <si>
    <t>Uncertainty avoidance</t>
  </si>
  <si>
    <t>Long-term orientation</t>
  </si>
  <si>
    <t>n/a</t>
  </si>
  <si>
    <t>No published score for Nepal</t>
  </si>
  <si>
    <t>Indulgence</t>
  </si>
  <si>
    <t>Source: Culture Factor Group (2026) Country comparison tool. Nepal has no published score for LTO or Indulgence.</t>
  </si>
  <si>
    <t>Resource-Based View (VRIN) — Transferability to Nepal</t>
  </si>
  <si>
    <t>Resource</t>
  </si>
  <si>
    <t>Valuable</t>
  </si>
  <si>
    <t>Rare</t>
  </si>
  <si>
    <t>Costly to Imitate</t>
  </si>
  <si>
    <t>Non-substitutable</t>
  </si>
  <si>
    <t>Transfers to Nepal?</t>
  </si>
  <si>
    <t>Rationale</t>
  </si>
  <si>
    <t>Brand and 'third place'</t>
  </si>
  <si>
    <t>✓</t>
  </si>
  <si>
    <t>YES</t>
  </si>
  <si>
    <t>Socially complex, causally ambiguous; no premium incumbent</t>
  </si>
  <si>
    <t>Barney (1991)</t>
  </si>
  <si>
    <t>Partner capability</t>
  </si>
  <si>
    <t>Training and culture are non-purchasable</t>
  </si>
  <si>
    <t>Starbucks (2025b; 2025c)</t>
  </si>
  <si>
    <t>Roasting craft</t>
  </si>
  <si>
    <t>Codified knowledge; travels with the firm</t>
  </si>
  <si>
    <t>Digital ecosystem</t>
  </si>
  <si>
    <t>PARTIAL</t>
  </si>
  <si>
    <t>Depends on smartphone and card penetration</t>
  </si>
  <si>
    <t>Author's assessment</t>
  </si>
  <si>
    <t>Scale supply chain</t>
  </si>
  <si>
    <t>✗</t>
  </si>
  <si>
    <t>NO</t>
  </si>
  <si>
    <t>Value depends on store density Nepal cannot supply</t>
  </si>
  <si>
    <t>Real-estate capability</t>
  </si>
  <si>
    <t>Advantage is a function of mature-market scale</t>
  </si>
  <si>
    <t>VRIN marks are the author's analytical judgement based on Barney (1991) and Starbucks corporate data.</t>
  </si>
  <si>
    <t>Dunning's OLI Paradigm — Applied to Starbucks in Nepal</t>
  </si>
  <si>
    <t>OLI Component</t>
  </si>
  <si>
    <t>Starbucks' Position</t>
  </si>
  <si>
    <t>Evidence</t>
  </si>
  <si>
    <t>Ownership (O)</t>
  </si>
  <si>
    <t>Brand equity, roasting technology, store operating systems, digital platform</t>
  </si>
  <si>
    <t>40,990 stores; US$37.2bn revenue FY2025</t>
  </si>
  <si>
    <t>Location (L)</t>
  </si>
  <si>
    <t>29.6m consumers, high-altitude Arabica, 385 MW hydropower added H1FY2026</t>
  </si>
  <si>
    <t>Population 29,618,118; 385 MW added</t>
  </si>
  <si>
    <t>World Bank (2025; 2026)</t>
  </si>
  <si>
    <t>Internalisation (I)</t>
  </si>
  <si>
    <t>Greater control over brand standards, IP and operating processes</t>
  </si>
  <si>
    <t>US$500m invested in partner labour hours; 40% stake in China JV</t>
  </si>
  <si>
    <t>Starbucks (2025c; 2026a)</t>
  </si>
  <si>
    <t>OLI justifies equity entry without dictating its form. Internalisation is a matter of degree, not necessity.</t>
  </si>
  <si>
    <t>Entry-Mode Assessment — Control vs Exposure</t>
  </si>
  <si>
    <t>Entry Mode</t>
  </si>
  <si>
    <t>Control</t>
  </si>
  <si>
    <t>Capability Transfer</t>
  </si>
  <si>
    <t>Local Knowledge</t>
  </si>
  <si>
    <t>Risk Sharing</t>
  </si>
  <si>
    <t>Capital Exposure</t>
  </si>
  <si>
    <t>Verdict</t>
  </si>
  <si>
    <t>Wholly owned</t>
  </si>
  <si>
    <t>High</t>
  </si>
  <si>
    <t>Low</t>
  </si>
  <si>
    <t>Rejected: concentrates institutional risk</t>
  </si>
  <si>
    <t>Joint venture</t>
  </si>
  <si>
    <t>Shared</t>
  </si>
  <si>
    <t>Medium</t>
  </si>
  <si>
    <t>RECOMMENDED: balances control, capability and risk</t>
  </si>
  <si>
    <t>Fischer and Roy (2017); Starbucks (2026a)</t>
  </si>
  <si>
    <t>Franchise</t>
  </si>
  <si>
    <t>Fallback: fastest footprint, weak control</t>
  </si>
  <si>
    <t>Exporting</t>
  </si>
  <si>
    <t>Rejected: cannot deliver 'third place'</t>
  </si>
  <si>
    <t>Joint venture mirrors Starbucks' India JV (Fischer and Roy, 2017) and 2026 China restructuring (Starbucks, 2026a).</t>
  </si>
  <si>
    <t>Nepal — Foreign Investment Regulatory Framework</t>
  </si>
  <si>
    <t>Item</t>
  </si>
  <si>
    <t>Detail</t>
  </si>
  <si>
    <t>Status</t>
  </si>
  <si>
    <t>Governing legislation</t>
  </si>
  <si>
    <t>FITTA 2019; Industrial Enterprises Act 2020</t>
  </si>
  <si>
    <t>Department of Industries (2026)</t>
  </si>
  <si>
    <t>Retail restriction</t>
  </si>
  <si>
    <t>Retail business restricted, BUT excludes international chain retail trading in ≥2 countries</t>
  </si>
  <si>
    <t>Local catering</t>
  </si>
  <si>
    <t>Closed to foreign equity</t>
  </si>
  <si>
    <t>Automatic route expansion</t>
  </si>
  <si>
    <t>102 industry areas; NPR 500m ceiling removed</t>
  </si>
  <si>
    <t>Feb 2026 (Gazette 2082/11/04)</t>
  </si>
  <si>
    <t>Nepal Gazette (2026)</t>
  </si>
  <si>
    <t>Required documents</t>
  </si>
  <si>
    <t>Project report, JVA (if &gt;1 investor), home-bank Financial Credibility Certificate</t>
  </si>
  <si>
    <t>Currency</t>
  </si>
  <si>
    <t>Pegged to Indian rupee</t>
  </si>
  <si>
    <t>Feb 2026 change verified via legal commentary (Niti Partners / Mondaq); primary Gazette text not directly accessed.</t>
  </si>
  <si>
    <t>UN Sustainable Development Goals — Starbucks Data</t>
  </si>
  <si>
    <t>SDG</t>
  </si>
  <si>
    <t>Target</t>
  </si>
  <si>
    <t>Starbucks Metric</t>
  </si>
  <si>
    <t>SDG 8</t>
  </si>
  <si>
    <t>8.5, 8.6</t>
  </si>
  <si>
    <t>230,000+ partners (2024)</t>
  </si>
  <si>
    <t>Green Apron training</t>
  </si>
  <si>
    <t>US$500m invested in partner labour hours</t>
  </si>
  <si>
    <t>SDG 12</t>
  </si>
  <si>
    <t>12.3, 12.5</t>
  </si>
  <si>
    <t>Reusable cup increase</t>
  </si>
  <si>
    <t>+77% when customers sit and stay</t>
  </si>
  <si>
    <t>Stores verified for energy/water/waste</t>
  </si>
  <si>
    <t>13,000+ coffeehouses</t>
  </si>
  <si>
    <t>SDG 13</t>
  </si>
  <si>
    <t>13.2, 13.3</t>
  </si>
  <si>
    <t>Total emissions vs FY2019 baseline</t>
  </si>
  <si>
    <t>+7% (Scope 1, 2 and 3)</t>
  </si>
  <si>
    <t>Scope 1+2 market-based emissions</t>
  </si>
  <si>
    <t>−17% vs FY2019</t>
  </si>
  <si>
    <t>2030 target</t>
  </si>
  <si>
    <t>50% absolute reduction from FY2019 (under reassessment)</t>
  </si>
  <si>
    <t>Starbucks retains a stated 2030 goal of 50% absolute reduction; currently reassessing.</t>
  </si>
  <si>
    <t>Citation and Reference Audit — Full Mapping</t>
  </si>
  <si>
    <t>In-text Citation</t>
  </si>
  <si>
    <t>Reference List Entry</t>
  </si>
  <si>
    <t>Source Type</t>
  </si>
  <si>
    <t>Verified</t>
  </si>
  <si>
    <t>Notes</t>
  </si>
  <si>
    <t>Barney, J. (1991) 'Firm resources and sustained competitive advantage', Journal of Management, 17(1), pp. 99–120.</t>
  </si>
  <si>
    <t>Peer-reviewed</t>
  </si>
  <si>
    <t>Primary RBV source</t>
  </si>
  <si>
    <t>Culture Factor Group (2026) Country comparison tool: Nepal and United States.</t>
  </si>
  <si>
    <t>Secondary database</t>
  </si>
  <si>
    <t>Hofstede scores verified live</t>
  </si>
  <si>
    <t>Department of Industries (2026) Foreign investment. Government of Nepal.</t>
  </si>
  <si>
    <t>Government</t>
  </si>
  <si>
    <t>Primary regulatory source</t>
  </si>
  <si>
    <t>DiMaggio and Powell (1983)</t>
  </si>
  <si>
    <t>DiMaggio, P.J. and Powell, W.W. (1983) 'The iron cage revisited', ASR, 48(2), pp. 147–160.</t>
  </si>
  <si>
    <t>Primary institutional theory source</t>
  </si>
  <si>
    <t>Dunning (1988)</t>
  </si>
  <si>
    <t>Dunning, J.H. (1988) 'The eclectic paradigm of international production', JIBS, 19(1), pp. 1–31.</t>
  </si>
  <si>
    <t>Primary OLI source</t>
  </si>
  <si>
    <t>Fischer and Roy (2017)</t>
  </si>
  <si>
    <t>Fischer, D. and Roy, K. (2017) 'Market entry in India: the curious case of Starbucks', Rutgers Business Review, 4(2), pp. 37–49.</t>
  </si>
  <si>
    <t>India JV case study</t>
  </si>
  <si>
    <t>Hofstede (2001)</t>
  </si>
  <si>
    <t>Hofstede, G. (2001) Culture's consequences, 2nd edn. Sage.</t>
  </si>
  <si>
    <t>Academic text</t>
  </si>
  <si>
    <t>Framework source</t>
  </si>
  <si>
    <t>Lamichhane, R. and Malla, B. (2025) 'Brewing change in Nepali coffee', The Kathmandu Post, 14 February.</t>
  </si>
  <si>
    <t>Newspaper</t>
  </si>
  <si>
    <t>Coffee data; secondary source</t>
  </si>
  <si>
    <t>Nepal Gazette (2026) Notification expanding automatic FDI route, 16 February (2082/11/04).</t>
  </si>
  <si>
    <t>Secondary</t>
  </si>
  <si>
    <t>Verified via legal commentary; primary text not directly accessed</t>
  </si>
  <si>
    <t>Starbucks (2025a) Q4 and full fiscal year 2025 results, 29 October.</t>
  </si>
  <si>
    <t>Corporate</t>
  </si>
  <si>
    <t>Primary financial data</t>
  </si>
  <si>
    <t>Starbucks (2025b) Fiscal 2025 global impact report.</t>
  </si>
  <si>
    <t>Primary sustainability data</t>
  </si>
  <si>
    <t>Starbucks (2025c) Back to Starbucks: transforming our support organization.</t>
  </si>
  <si>
    <t>Primary partner investment data</t>
  </si>
  <si>
    <t>Starbucks (2026a) Starbucks and Boyu Capital finalize joint venture, 2 April.</t>
  </si>
  <si>
    <t>Primary JV data</t>
  </si>
  <si>
    <t>World Bank (2025) Nepal country data.</t>
  </si>
  <si>
    <t>Multilateral</t>
  </si>
  <si>
    <t>Primary macro data</t>
  </si>
  <si>
    <t>World Bank (2026) Nepal development update, April 2026.</t>
  </si>
  <si>
    <t>Primary macro/political data</t>
  </si>
  <si>
    <t>All 15 in-text citations mapped to reference list entries. No orphan references. No ACT 2 Starbucks Case.md. No Israel claim. Australia A$105m removed.</t>
  </si>
  <si>
    <t>Derived Calculations — Transparent Methodology</t>
  </si>
  <si>
    <t>Calculation</t>
  </si>
  <si>
    <t>Formula</t>
  </si>
  <si>
    <t>Inputs</t>
  </si>
  <si>
    <t>Result</t>
  </si>
  <si>
    <t>Label</t>
  </si>
  <si>
    <t>Coffee supply gap</t>
  </si>
  <si>
    <t>Consumption − Production</t>
  </si>
  <si>
    <t>1,800 t − 586 t</t>
  </si>
  <si>
    <t>1,214 t</t>
  </si>
  <si>
    <t>Author's calculation</t>
  </si>
  <si>
    <t>Beverage affordability</t>
  </si>
  <si>
    <t>Price / GDP per capita × 100</t>
  </si>
  <si>
    <t>US$3.50 / US$1,535.9 × 100</t>
  </si>
  <si>
    <t>0.23%</t>
  </si>
  <si>
    <t>Author's calculation; indicative only</t>
  </si>
  <si>
    <t>US + China portfolio share</t>
  </si>
  <si>
    <t>(US stores + China stores) / Total stores × 100</t>
  </si>
  <si>
    <t>(16,864 + 8,011) / 40,990 × 100</t>
  </si>
  <si>
    <t>61%</t>
  </si>
  <si>
    <t>Author's calculation from Starbucks (2025a)</t>
  </si>
  <si>
    <t>Import dependence</t>
  </si>
  <si>
    <t>Imports / Consumption × 100</t>
  </si>
  <si>
    <t>1,200–1,400 / 1,800 × 100</t>
  </si>
  <si>
    <t>67–78%</t>
  </si>
  <si>
    <t>Author's calculation from Lamichhane and Malla (2025)</t>
  </si>
  <si>
    <t>All derived figures are labelled as author's calculations in the report and figures.</t>
  </si>
  <si>
    <t>Verification Exceptions — Disclosed Uncertainties</t>
  </si>
  <si>
    <t>Claim</t>
  </si>
  <si>
    <t>Treatment in Report</t>
  </si>
  <si>
    <t>Coffee supply gap 1,214 t</t>
  </si>
  <si>
    <t>Labelled as calculation in figure and Appendix C</t>
  </si>
  <si>
    <t>Derived from cited figures</t>
  </si>
  <si>
    <t>US$3.50 = 0.23% GDP per capita</t>
  </si>
  <si>
    <t>Indicative affordability comparison only</t>
  </si>
  <si>
    <t>GDP per capita ≠ disposable income</t>
  </si>
  <si>
    <t>Feb 2026 FDI expansion</t>
  </si>
  <si>
    <t>Secondary source</t>
  </si>
  <si>
    <t>Disclosed in Appendix C</t>
  </si>
  <si>
    <t>Gazette notification via legal commentary; primary text not accessed</t>
  </si>
  <si>
    <t>Hofstede LTO &amp; Indulgence (Nepal)</t>
  </si>
  <si>
    <t>Unavailable</t>
  </si>
  <si>
    <t>Excluded rather than estimated</t>
  </si>
  <si>
    <t>No published score</t>
  </si>
  <si>
    <t>Starbucks Australia A$105m</t>
  </si>
  <si>
    <t>Removed</t>
  </si>
  <si>
    <t>Currency not independently verified</t>
  </si>
  <si>
    <t>ACT 2 Starbucks Case.md</t>
  </si>
  <si>
    <t>Not cited anywhere</t>
  </si>
  <si>
    <t>Internal file, not academic source</t>
  </si>
  <si>
    <t>Israel claim</t>
  </si>
  <si>
    <t>Not present</t>
  </si>
  <si>
    <t>No credible source found</t>
  </si>
  <si>
    <t>No derived figure is presented as though a source reported it. No invented URLs or references.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</si>
</sst>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4F1EA"/>
        <bgColor indexed="64"/>
      </patternFill>
    </fill>
    <fill>
      <patternFill patternType="solid">
        <fgColor rgb="FF00704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vertical="top" wrapText="1"/>
    </xf>
    <xf numFmtId="0" fontId="1" fillId="0" borderId="0" xfId="1" applyAlignment="1" applyProtection="1"/>
    <xf numFmtId="0" fontId="2" fillId="3" borderId="0" xfId="0" applyFont="1" applyFill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baseline="0">
                <a:solidFill>
                  <a:srgbClr val="1E3932"/>
                </a:solidFill>
                <a:latin typeface="Segoe UI"/>
              </a:defRPr>
            </a:pPr>
            <a:r>
              <a:rPr lang="en-US" sz="1200" b="1" baseline="0">
                <a:solidFill>
                  <a:srgbClr val="1E3932"/>
                </a:solidFill>
                <a:latin typeface="Segoe UI"/>
              </a:rPr>
              <a:t>Nepal coffee: demand vs supply (tonnes / year)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"/>
          <c:y val="0.14000000000000001"/>
          <c:w val="0.84"/>
          <c:h val="0.66"/>
        </c:manualLayout>
      </c:layout>
      <c:barChart>
        <c:barDir val="col"/>
        <c:grouping val="stacked"/>
        <c:varyColors val="0"/>
        <c:ser>
          <c:idx val="0"/>
          <c:order val="0"/>
          <c:tx>
            <c:v>Tonnes</c:v>
          </c:tx>
          <c:invertIfNegative val="0"/>
          <c:dPt>
            <c:idx val="0"/>
            <c:invertIfNegative val="0"/>
            <c:bubble3D val="0"/>
            <c:spPr>
              <a:solidFill>
                <a:srgbClr val="1E3932"/>
              </a:solidFill>
            </c:spPr>
            <c:extLst>
              <c:ext xmlns:c16="http://schemas.microsoft.com/office/drawing/2014/chart" uri="{C3380CC4-5D6E-409C-BE32-E72D297353CC}">
                <c16:uniqueId val="{00000000-3166-4182-B8EC-F191D6D497B7}"/>
              </c:ext>
            </c:extLst>
          </c:dPt>
          <c:dPt>
            <c:idx val="1"/>
            <c:invertIfNegative val="0"/>
            <c:bubble3D val="0"/>
            <c:spPr>
              <a:solidFill>
                <a:srgbClr val="00704A"/>
              </a:solidFill>
            </c:spPr>
            <c:extLst>
              <c:ext xmlns:c16="http://schemas.microsoft.com/office/drawing/2014/chart" uri="{C3380CC4-5D6E-409C-BE32-E72D297353CC}">
                <c16:uniqueId val="{00000001-3166-4182-B8EC-F191D6D497B7}"/>
              </c:ext>
            </c:extLst>
          </c:dPt>
          <c:dPt>
            <c:idx val="2"/>
            <c:invertIfNegative val="0"/>
            <c:bubble3D val="0"/>
            <c:spPr>
              <a:solidFill>
                <a:srgbClr val="CBA258"/>
              </a:solidFill>
            </c:spPr>
            <c:extLst>
              <c:ext xmlns:c16="http://schemas.microsoft.com/office/drawing/2014/chart" uri="{C3380CC4-5D6E-409C-BE32-E72D297353CC}">
                <c16:uniqueId val="{00000002-3166-4182-B8EC-F191D6D497B7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>
                    <a:defRPr sz="1600" b="1" baseline="0">
                      <a:solidFill>
                        <a:srgbClr val="FFFFFF"/>
                      </a:solidFill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3166-4182-B8EC-F191D6D497B7}"/>
                </c:ext>
              </c:extLst>
            </c:dLbl>
            <c:dLbl>
              <c:idx val="1"/>
              <c:spPr/>
              <c:txPr>
                <a:bodyPr/>
                <a:lstStyle/>
                <a:p>
                  <a:pPr>
                    <a:defRPr sz="1600" b="1" baseline="0">
                      <a:solidFill>
                        <a:srgbClr val="FFFFFF"/>
                      </a:solidFill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3166-4182-B8EC-F191D6D497B7}"/>
                </c:ext>
              </c:extLst>
            </c:dLbl>
            <c:dLbl>
              <c:idx val="2"/>
              <c:spPr/>
              <c:txPr>
                <a:bodyPr/>
                <a:lstStyle/>
                <a:p>
                  <a:pPr>
                    <a:defRPr sz="1600" b="1" baseline="0">
                      <a:solidFill>
                        <a:srgbClr val="1E2A26"/>
                      </a:solidFill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3166-4182-B8EC-F191D6D497B7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baseline="0">
                    <a:latin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_calc!$A$14:$A$16</c:f>
              <c:strCache>
                <c:ptCount val="3"/>
                <c:pt idx="0">
                  <c:v>Consumption</c:v>
                </c:pt>
                <c:pt idx="1">
                  <c:v>Production</c:v>
                </c:pt>
                <c:pt idx="2">
                  <c:v>Imports</c:v>
                </c:pt>
              </c:strCache>
            </c:strRef>
          </c:cat>
          <c:val>
            <c:numRef>
              <c:f>_calc!$B$14:$B$16</c:f>
              <c:numCache>
                <c:formatCode>General</c:formatCode>
                <c:ptCount val="3"/>
                <c:pt idx="0">
                  <c:v>1800</c:v>
                </c:pt>
                <c:pt idx="1">
                  <c:v>586</c:v>
                </c:pt>
                <c:pt idx="2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66-4182-B8EC-F191D6D497B7}"/>
            </c:ext>
          </c:extLst>
        </c:ser>
        <c:ser>
          <c:idx val="1"/>
          <c:order val="1"/>
          <c:tx>
            <c:v>Upper import estimate</c:v>
          </c:tx>
          <c:spPr>
            <a:solidFill>
              <a:srgbClr val="E4C98F"/>
            </a:solidFill>
          </c:spPr>
          <c:invertIfNegative val="0"/>
          <c:cat>
            <c:strRef>
              <c:f>_calc!$A$14:$A$16</c:f>
              <c:strCache>
                <c:ptCount val="3"/>
                <c:pt idx="0">
                  <c:v>Consumption</c:v>
                </c:pt>
                <c:pt idx="1">
                  <c:v>Production</c:v>
                </c:pt>
                <c:pt idx="2">
                  <c:v>Imports</c:v>
                </c:pt>
              </c:strCache>
            </c:strRef>
          </c:cat>
          <c:val>
            <c:numRef>
              <c:f>_calc!$C$14:$C$16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166-4182-B8EC-F191D6D497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 baseline="0">
                <a:latin typeface="Segoe UI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>
          <c:spPr>
            <a:ln>
              <a:solidFill>
                <a:srgbClr val="E3DED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A74"/>
                </a:solidFill>
                <a:latin typeface="Segoe UI"/>
              </a:defRPr>
            </a:pPr>
            <a:endParaRPr lang="en-US"/>
          </a:p>
        </c:txPr>
        <c:crossAx val="50010001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solidFill>
      <a:srgbClr val="FFFFFF"/>
    </a:solidFill>
    <a:ln>
      <a:solidFill>
        <a:srgbClr val="E3DED3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baseline="0">
                <a:solidFill>
                  <a:srgbClr val="1E3932"/>
                </a:solidFill>
                <a:latin typeface="Segoe UI"/>
              </a:defRPr>
            </a:pPr>
            <a:r>
              <a:rPr lang="en-US" sz="1200" b="1" baseline="0">
                <a:solidFill>
                  <a:srgbClr val="1E3932"/>
                </a:solidFill>
                <a:latin typeface="Segoe UI"/>
              </a:rPr>
              <a:t>Hofstede: Nepal vs United States (0–100)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3"/>
          <c:y val="0.13"/>
          <c:w val="0.65"/>
          <c:h val="0.62"/>
        </c:manualLayout>
      </c:layout>
      <c:barChart>
        <c:barDir val="bar"/>
        <c:grouping val="clustered"/>
        <c:varyColors val="0"/>
        <c:ser>
          <c:idx val="0"/>
          <c:order val="0"/>
          <c:tx>
            <c:v>Nepal</c:v>
          </c:tx>
          <c:spPr>
            <a:solidFill>
              <a:srgbClr val="00704A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 baseline="0">
                    <a:latin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_calc!$A$20:$A$23</c:f>
              <c:strCache>
                <c:ptCount val="4"/>
                <c:pt idx="0">
                  <c:v>Power distance</c:v>
                </c:pt>
                <c:pt idx="1">
                  <c:v>Individualism</c:v>
                </c:pt>
                <c:pt idx="2">
                  <c:v>Motivation towards achievement</c:v>
                </c:pt>
                <c:pt idx="3">
                  <c:v>Uncertainty avoidance</c:v>
                </c:pt>
              </c:strCache>
            </c:strRef>
          </c:cat>
          <c:val>
            <c:numRef>
              <c:f>_calc!$B$20:$B$23</c:f>
              <c:numCache>
                <c:formatCode>General</c:formatCode>
                <c:ptCount val="4"/>
                <c:pt idx="0">
                  <c:v>65</c:v>
                </c:pt>
                <c:pt idx="1">
                  <c:v>30</c:v>
                </c:pt>
                <c:pt idx="2">
                  <c:v>40</c:v>
                </c:pt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17-4FEA-B368-AC1BFAE743EF}"/>
            </c:ext>
          </c:extLst>
        </c:ser>
        <c:ser>
          <c:idx val="1"/>
          <c:order val="1"/>
          <c:tx>
            <c:v>United States</c:v>
          </c:tx>
          <c:spPr>
            <a:solidFill>
              <a:srgbClr val="CBA25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 baseline="0">
                    <a:latin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_calc!$A$20:$A$23</c:f>
              <c:strCache>
                <c:ptCount val="4"/>
                <c:pt idx="0">
                  <c:v>Power distance</c:v>
                </c:pt>
                <c:pt idx="1">
                  <c:v>Individualism</c:v>
                </c:pt>
                <c:pt idx="2">
                  <c:v>Motivation towards achievement</c:v>
                </c:pt>
                <c:pt idx="3">
                  <c:v>Uncertainty avoidance</c:v>
                </c:pt>
              </c:strCache>
            </c:strRef>
          </c:cat>
          <c:val>
            <c:numRef>
              <c:f>_calc!$C$20:$C$23</c:f>
              <c:numCache>
                <c:formatCode>General</c:formatCode>
                <c:ptCount val="4"/>
                <c:pt idx="0">
                  <c:v>40</c:v>
                </c:pt>
                <c:pt idx="1">
                  <c:v>91</c:v>
                </c:pt>
                <c:pt idx="2">
                  <c:v>62</c:v>
                </c:pt>
                <c:pt idx="3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17-4FEA-B368-AC1BFAE74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50020001"/>
        <c:axId val="50020002"/>
      </c:barChart>
      <c:catAx>
        <c:axId val="50020001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="1" i="1" baseline="0">
                <a:latin typeface="Segoe UI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  <c:max val="100"/>
          <c:min val="0"/>
        </c:scaling>
        <c:delete val="0"/>
        <c:axPos val="b"/>
        <c:majorGridlines>
          <c:spPr>
            <a:ln>
              <a:solidFill>
                <a:srgbClr val="E3DED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solidFill>
                  <a:srgbClr val="6B7A74"/>
                </a:solidFill>
                <a:latin typeface="Segoe UI"/>
              </a:defRPr>
            </a:pPr>
            <a:endParaRPr lang="en-US"/>
          </a:p>
        </c:txPr>
        <c:crossAx val="50020001"/>
        <c:crosses val="max"/>
        <c:crossBetween val="between"/>
      </c:valAx>
      <c:spPr>
        <a:noFill/>
      </c:spPr>
    </c:plotArea>
    <c:legend>
      <c:legendPos val="b"/>
      <c:layout>
        <c:manualLayout>
          <c:xMode val="edge"/>
          <c:yMode val="edge"/>
          <c:x val="0.3"/>
          <c:y val="0.81"/>
          <c:w val="0.5"/>
          <c:h val="7.0000000000000007E-2"/>
        </c:manualLayout>
      </c:layout>
      <c:overlay val="0"/>
      <c:txPr>
        <a:bodyPr/>
        <a:lstStyle/>
        <a:p>
          <a:pPr>
            <a:defRPr sz="900" baseline="0">
              <a:latin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solidFill>
        <a:srgbClr val="E3DED3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baseline="0">
                <a:solidFill>
                  <a:srgbClr val="1E3932"/>
                </a:solidFill>
                <a:latin typeface="Segoe UI"/>
              </a:defRPr>
            </a:pPr>
            <a:r>
              <a:rPr lang="en-US" sz="1200" b="1" baseline="0">
                <a:solidFill>
                  <a:srgbClr val="1E3932"/>
                </a:solidFill>
                <a:latin typeface="Segoe UI"/>
              </a:rPr>
              <a:t>Where Starbucks stores are (40,990 stores)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Stores</c:v>
          </c:tx>
          <c:dPt>
            <c:idx val="0"/>
            <c:bubble3D val="0"/>
            <c:spPr>
              <a:solidFill>
                <a:srgbClr val="1E3932"/>
              </a:solidFill>
            </c:spPr>
            <c:extLst>
              <c:ext xmlns:c16="http://schemas.microsoft.com/office/drawing/2014/chart" uri="{C3380CC4-5D6E-409C-BE32-E72D297353CC}">
                <c16:uniqueId val="{00000000-7B77-498F-9FA7-3D2D945CD979}"/>
              </c:ext>
            </c:extLst>
          </c:dPt>
          <c:dPt>
            <c:idx val="1"/>
            <c:bubble3D val="0"/>
            <c:spPr>
              <a:solidFill>
                <a:srgbClr val="00704A"/>
              </a:solidFill>
            </c:spPr>
            <c:extLst>
              <c:ext xmlns:c16="http://schemas.microsoft.com/office/drawing/2014/chart" uri="{C3380CC4-5D6E-409C-BE32-E72D297353CC}">
                <c16:uniqueId val="{00000001-7B77-498F-9FA7-3D2D945CD979}"/>
              </c:ext>
            </c:extLst>
          </c:dPt>
          <c:dPt>
            <c:idx val="2"/>
            <c:bubble3D val="0"/>
            <c:spPr>
              <a:solidFill>
                <a:srgbClr val="CBA258"/>
              </a:solidFill>
            </c:spPr>
            <c:extLst>
              <c:ext xmlns:c16="http://schemas.microsoft.com/office/drawing/2014/chart" uri="{C3380CC4-5D6E-409C-BE32-E72D297353CC}">
                <c16:uniqueId val="{00000002-7B77-498F-9FA7-3D2D945CD979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>
                    <a:defRPr b="1" baseline="0">
                      <a:solidFill>
                        <a:srgbClr val="FFFFFF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0-7B77-498F-9FA7-3D2D945CD979}"/>
                </c:ext>
              </c:extLst>
            </c:dLbl>
            <c:dLbl>
              <c:idx val="1"/>
              <c:spPr/>
              <c:txPr>
                <a:bodyPr/>
                <a:lstStyle/>
                <a:p>
                  <a:pPr>
                    <a:defRPr b="1" baseline="0">
                      <a:solidFill>
                        <a:srgbClr val="FFFFFF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7B77-498F-9FA7-3D2D945CD979}"/>
                </c:ext>
              </c:extLst>
            </c:dLbl>
            <c:dLbl>
              <c:idx val="2"/>
              <c:spPr/>
              <c:txPr>
                <a:bodyPr/>
                <a:lstStyle/>
                <a:p>
                  <a:pPr>
                    <a:defRPr b="1" baseline="0">
                      <a:solidFill>
                        <a:srgbClr val="1E2A26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7B77-498F-9FA7-3D2D945CD9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 baseline="0">
                    <a:solidFill>
                      <a:srgbClr val="FFFFFF"/>
                    </a:solidFill>
                    <a:latin typeface="Segoe U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_calc!$A$26:$A$28</c:f>
              <c:strCache>
                <c:ptCount val="3"/>
                <c:pt idx="0">
                  <c:v>US</c:v>
                </c:pt>
                <c:pt idx="1">
                  <c:v>China</c:v>
                </c:pt>
                <c:pt idx="2">
                  <c:v>Rest of world</c:v>
                </c:pt>
              </c:strCache>
            </c:strRef>
          </c:cat>
          <c:val>
            <c:numRef>
              <c:f>_calc!$B$26:$B$28</c:f>
              <c:numCache>
                <c:formatCode>General</c:formatCode>
                <c:ptCount val="3"/>
                <c:pt idx="0">
                  <c:v>16864</c:v>
                </c:pt>
                <c:pt idx="1">
                  <c:v>8011</c:v>
                </c:pt>
                <c:pt idx="2">
                  <c:v>16115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B77-498F-9FA7-3D2D945CD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5"/>
      </c:doughnutChart>
      <c:spPr>
        <a:noFill/>
      </c:spPr>
    </c:plotArea>
    <c:legend>
      <c:legendPos val="r"/>
      <c:overlay val="0"/>
      <c:txPr>
        <a:bodyPr/>
        <a:lstStyle/>
        <a:p>
          <a:pPr rtl="0">
            <a:defRPr sz="1100" baseline="0">
              <a:latin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solidFill>
        <a:srgbClr val="E3DED3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baseline="0">
                <a:solidFill>
                  <a:srgbClr val="1E3932"/>
                </a:solidFill>
                <a:latin typeface="Segoe UI"/>
              </a:defRPr>
            </a:pPr>
            <a:r>
              <a:rPr lang="en-US" sz="1200" b="1" baseline="0">
                <a:solidFill>
                  <a:srgbClr val="1E3932"/>
                </a:solidFill>
                <a:latin typeface="Segoe UI"/>
              </a:rPr>
              <a:t>Stores by region (40,990 total)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Stores</c:v>
          </c:tx>
          <c:invertIfNegative val="0"/>
          <c:dPt>
            <c:idx val="0"/>
            <c:invertIfNegative val="0"/>
            <c:bubble3D val="0"/>
            <c:spPr>
              <a:solidFill>
                <a:srgbClr val="1E3932"/>
              </a:solidFill>
            </c:spPr>
            <c:extLst>
              <c:ext xmlns:c16="http://schemas.microsoft.com/office/drawing/2014/chart" uri="{C3380CC4-5D6E-409C-BE32-E72D297353CC}">
                <c16:uniqueId val="{00000000-41D7-4949-B47C-8E6FCA59C28D}"/>
              </c:ext>
            </c:extLst>
          </c:dPt>
          <c:dPt>
            <c:idx val="1"/>
            <c:invertIfNegative val="0"/>
            <c:bubble3D val="0"/>
            <c:spPr>
              <a:solidFill>
                <a:srgbClr val="00704A"/>
              </a:solidFill>
            </c:spPr>
            <c:extLst>
              <c:ext xmlns:c16="http://schemas.microsoft.com/office/drawing/2014/chart" uri="{C3380CC4-5D6E-409C-BE32-E72D297353CC}">
                <c16:uniqueId val="{00000001-41D7-4949-B47C-8E6FCA59C28D}"/>
              </c:ext>
            </c:extLst>
          </c:dPt>
          <c:dPt>
            <c:idx val="2"/>
            <c:invertIfNegative val="0"/>
            <c:bubble3D val="0"/>
            <c:spPr>
              <a:solidFill>
                <a:srgbClr val="CBA258"/>
              </a:solidFill>
            </c:spPr>
            <c:extLst>
              <c:ext xmlns:c16="http://schemas.microsoft.com/office/drawing/2014/chart" uri="{C3380CC4-5D6E-409C-BE32-E72D297353CC}">
                <c16:uniqueId val="{00000002-41D7-4949-B47C-8E6FCA59C28D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 baseline="0">
                    <a:latin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_calc!$A$26:$A$28</c:f>
              <c:strCache>
                <c:ptCount val="3"/>
                <c:pt idx="0">
                  <c:v>US</c:v>
                </c:pt>
                <c:pt idx="1">
                  <c:v>China</c:v>
                </c:pt>
                <c:pt idx="2">
                  <c:v>Rest of world</c:v>
                </c:pt>
              </c:strCache>
            </c:strRef>
          </c:cat>
          <c:val>
            <c:numRef>
              <c:f>_calc!$B$26:$B$28</c:f>
              <c:numCache>
                <c:formatCode>General</c:formatCode>
                <c:ptCount val="3"/>
                <c:pt idx="0">
                  <c:v>16864</c:v>
                </c:pt>
                <c:pt idx="1">
                  <c:v>8011</c:v>
                </c:pt>
                <c:pt idx="2">
                  <c:v>16115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D7-4949-B47C-8E6FCA59C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0040001"/>
        <c:axId val="50040002"/>
      </c:barChart>
      <c:catAx>
        <c:axId val="5004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l"/>
        <c:majorGridlines>
          <c:spPr>
            <a:ln>
              <a:solidFill>
                <a:srgbClr val="E3DED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A74"/>
                </a:solidFill>
                <a:latin typeface="Segoe UI"/>
              </a:defRPr>
            </a:pPr>
            <a:endParaRPr lang="en-US"/>
          </a:p>
        </c:txPr>
        <c:crossAx val="50040001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solidFill>
      <a:srgbClr val="FFFFFF"/>
    </a:solidFill>
    <a:ln>
      <a:solidFill>
        <a:srgbClr val="E3DED3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baseline="0">
                <a:solidFill>
                  <a:srgbClr val="1E3932"/>
                </a:solidFill>
                <a:latin typeface="Segoe UI"/>
              </a:defRPr>
            </a:pPr>
            <a:r>
              <a:rPr lang="en-US" sz="1200" b="1" baseline="0">
                <a:solidFill>
                  <a:srgbClr val="1E3932"/>
                </a:solidFill>
                <a:latin typeface="Segoe UI"/>
              </a:rPr>
              <a:t>Comparable store sales, FY2025 (% change)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% change</c:v>
          </c:tx>
          <c:spPr>
            <a:solidFill>
              <a:srgbClr val="B5533C"/>
            </a:solidFill>
          </c:spPr>
          <c:invertIfNegative val="0"/>
          <c:dLbls>
            <c:numFmt formatCode="0&quot;%&quot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 baseline="0">
                    <a:latin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_calc!$A$37:$A$38</c:f>
              <c:strCache>
                <c:ptCount val="2"/>
                <c:pt idx="0">
                  <c:v>Global comparable sales</c:v>
                </c:pt>
                <c:pt idx="1">
                  <c:v>North America</c:v>
                </c:pt>
              </c:strCache>
            </c:strRef>
          </c:cat>
          <c:val>
            <c:numRef>
              <c:f>_calc!$B$37:$B$38</c:f>
              <c:numCache>
                <c:formatCode>General</c:formatCode>
                <c:ptCount val="2"/>
                <c:pt idx="0">
                  <c:v>-1</c:v>
                </c:pt>
                <c:pt idx="1">
                  <c:v>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43-4392-A3E9-21B8F891E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50050001"/>
        <c:axId val="50050002"/>
      </c:barChart>
      <c:catAx>
        <c:axId val="5005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high"/>
        <c:txPr>
          <a:bodyPr/>
          <a:lstStyle/>
          <a:p>
            <a:pPr>
              <a:defRPr sz="1000" b="1" baseline="0">
                <a:latin typeface="Segoe U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  <c:noMultiLvlLbl val="0"/>
      </c:catAx>
      <c:valAx>
        <c:axId val="50050002"/>
        <c:scaling>
          <c:orientation val="minMax"/>
          <c:max val="0"/>
          <c:min val="-4"/>
        </c:scaling>
        <c:delete val="0"/>
        <c:axPos val="l"/>
        <c:majorGridlines>
          <c:spPr>
            <a:ln>
              <a:solidFill>
                <a:srgbClr val="E3DED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A74"/>
                </a:solidFill>
                <a:latin typeface="Segoe U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solidFill>
      <a:srgbClr val="FFFFFF"/>
    </a:solidFill>
    <a:ln>
      <a:solidFill>
        <a:srgbClr val="E3DED3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baseline="0">
                <a:solidFill>
                  <a:srgbClr val="1E3932"/>
                </a:solidFill>
                <a:latin typeface="Segoe UI"/>
              </a:defRPr>
            </a:pPr>
            <a:r>
              <a:rPr lang="en-US" sz="1200" b="1" baseline="0">
                <a:solidFill>
                  <a:srgbClr val="1E3932"/>
                </a:solidFill>
                <a:latin typeface="Segoe UI"/>
              </a:rPr>
              <a:t>China JV ownership (Boyu model, %)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Stake</c:v>
          </c:tx>
          <c:dPt>
            <c:idx val="0"/>
            <c:bubble3D val="0"/>
            <c:spPr>
              <a:solidFill>
                <a:srgbClr val="CBA258"/>
              </a:solidFill>
            </c:spPr>
            <c:extLst>
              <c:ext xmlns:c16="http://schemas.microsoft.com/office/drawing/2014/chart" uri="{C3380CC4-5D6E-409C-BE32-E72D297353CC}">
                <c16:uniqueId val="{00000000-A831-429A-B4D2-FC4C60D623E9}"/>
              </c:ext>
            </c:extLst>
          </c:dPt>
          <c:dPt>
            <c:idx val="1"/>
            <c:bubble3D val="0"/>
            <c:spPr>
              <a:solidFill>
                <a:srgbClr val="00704A"/>
              </a:solidFill>
            </c:spPr>
            <c:extLst>
              <c:ext xmlns:c16="http://schemas.microsoft.com/office/drawing/2014/chart" uri="{C3380CC4-5D6E-409C-BE32-E72D297353CC}">
                <c16:uniqueId val="{00000001-A831-429A-B4D2-FC4C60D623E9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>
                    <a:defRPr sz="1200" b="1" baseline="0">
                      <a:solidFill>
                        <a:srgbClr val="1E2A26"/>
                      </a:solidFill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A831-429A-B4D2-FC4C60D623E9}"/>
                </c:ext>
              </c:extLst>
            </c:dLbl>
            <c:dLbl>
              <c:idx val="1"/>
              <c:spPr/>
              <c:txPr>
                <a:bodyPr/>
                <a:lstStyle/>
                <a:p>
                  <a:pPr>
                    <a:defRPr sz="1200" b="1" baseline="0">
                      <a:solidFill>
                        <a:srgbClr val="FFFFFF"/>
                      </a:solidFill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A831-429A-B4D2-FC4C60D623E9}"/>
                </c:ext>
              </c:extLst>
            </c:dLbl>
            <c:numFmt formatCode="0&quot;%&quot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1" baseline="0">
                    <a:solidFill>
                      <a:srgbClr val="FFFFFF"/>
                    </a:solidFill>
                    <a:latin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_calc!$A$39:$A$40</c:f>
              <c:strCache>
                <c:ptCount val="2"/>
                <c:pt idx="0">
                  <c:v>Boyu Capital</c:v>
                </c:pt>
                <c:pt idx="1">
                  <c:v>Starbucks</c:v>
                </c:pt>
              </c:strCache>
            </c:strRef>
          </c:cat>
          <c:val>
            <c:numRef>
              <c:f>_calc!$B$39:$B$40</c:f>
              <c:numCache>
                <c:formatCode>General</c:formatCode>
                <c:ptCount val="2"/>
                <c:pt idx="0">
                  <c:v>60</c:v>
                </c:pt>
                <c:pt idx="1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31-429A-B4D2-FC4C60D62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5"/>
      </c:doughnutChart>
      <c:spPr>
        <a:noFill/>
      </c:spPr>
    </c:plotArea>
    <c:legend>
      <c:legendPos val="r"/>
      <c:overlay val="0"/>
      <c:txPr>
        <a:bodyPr/>
        <a:lstStyle/>
        <a:p>
          <a:pPr rtl="0">
            <a:defRPr sz="1000" baseline="0">
              <a:latin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solidFill>
        <a:srgbClr val="E3DED3"/>
      </a:solidFill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baseline="0">
                <a:solidFill>
                  <a:srgbClr val="1E3932"/>
                </a:solidFill>
                <a:latin typeface="Segoe UI"/>
              </a:defRPr>
            </a:pPr>
            <a:r>
              <a:rPr lang="en-US" sz="1200" b="1" baseline="0">
                <a:solidFill>
                  <a:srgbClr val="1E3932"/>
                </a:solidFill>
                <a:latin typeface="Segoe UI"/>
              </a:rPr>
              <a:t>GDP growth vs inflation (%)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09"/>
          <c:y val="0.2"/>
          <c:w val="0.88"/>
          <c:h val="0.6"/>
        </c:manualLayout>
      </c:layout>
      <c:barChart>
        <c:barDir val="col"/>
        <c:grouping val="clustered"/>
        <c:varyColors val="0"/>
        <c:ser>
          <c:idx val="0"/>
          <c:order val="0"/>
          <c:tx>
            <c:v>GDP growth</c:v>
          </c:tx>
          <c:spPr>
            <a:solidFill>
              <a:srgbClr val="00704A"/>
            </a:solidFill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 baseline="0">
                    <a:latin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_calc!$A$46:$A$48</c:f>
              <c:strCache>
                <c:ptCount val="3"/>
                <c:pt idx="0">
                  <c:v>2025 / FY2025</c:v>
                </c:pt>
                <c:pt idx="1">
                  <c:v>FY2026</c:v>
                </c:pt>
                <c:pt idx="2">
                  <c:v>FY2027</c:v>
                </c:pt>
              </c:strCache>
            </c:strRef>
          </c:cat>
          <c:val>
            <c:numRef>
              <c:f>_calc!$B$46:$B$48</c:f>
              <c:numCache>
                <c:formatCode>General</c:formatCode>
                <c:ptCount val="3"/>
                <c:pt idx="0">
                  <c:v>4.4000000000000004</c:v>
                </c:pt>
                <c:pt idx="1">
                  <c:v>2.2999999999999998</c:v>
                </c:pt>
                <c:pt idx="2">
                  <c:v>4.4000000000000004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5C-42E5-B3EB-5EC0DA72019A}"/>
            </c:ext>
          </c:extLst>
        </c:ser>
        <c:ser>
          <c:idx val="1"/>
          <c:order val="1"/>
          <c:tx>
            <c:v>Inflation</c:v>
          </c:tx>
          <c:spPr>
            <a:solidFill>
              <a:srgbClr val="CBA258"/>
            </a:solidFill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 baseline="0">
                    <a:latin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_calc!$A$46:$A$48</c:f>
              <c:strCache>
                <c:ptCount val="3"/>
                <c:pt idx="0">
                  <c:v>2025 / FY2025</c:v>
                </c:pt>
                <c:pt idx="1">
                  <c:v>FY2026</c:v>
                </c:pt>
                <c:pt idx="2">
                  <c:v>FY2027</c:v>
                </c:pt>
              </c:strCache>
            </c:strRef>
          </c:cat>
          <c:val>
            <c:numRef>
              <c:f>_calc!$C$46:$C$48</c:f>
              <c:numCache>
                <c:formatCode>General</c:formatCode>
                <c:ptCount val="3"/>
                <c:pt idx="0">
                  <c:v>4.0999999999999996</c:v>
                </c:pt>
                <c:pt idx="1">
                  <c:v>4.3</c:v>
                </c:pt>
                <c:pt idx="2">
                  <c:v>5.0999999999999996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5C-42E5-B3EB-5EC0DA720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50070001"/>
        <c:axId val="50070002"/>
      </c:barChart>
      <c:catAx>
        <c:axId val="5007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70002"/>
        <c:crosses val="autoZero"/>
        <c:auto val="1"/>
        <c:lblAlgn val="ctr"/>
        <c:lblOffset val="100"/>
        <c:noMultiLvlLbl val="0"/>
      </c:catAx>
      <c:valAx>
        <c:axId val="50070002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3DED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A74"/>
                </a:solidFill>
                <a:latin typeface="Segoe UI"/>
              </a:defRPr>
            </a:pPr>
            <a:endParaRPr lang="en-US"/>
          </a:p>
        </c:txPr>
        <c:crossAx val="50070001"/>
        <c:crosses val="autoZero"/>
        <c:crossBetween val="between"/>
      </c:valAx>
      <c:spPr>
        <a:noFill/>
      </c:spPr>
    </c:plotArea>
    <c:legend>
      <c:legendPos val="t"/>
      <c:overlay val="0"/>
      <c:txPr>
        <a:bodyPr/>
        <a:lstStyle/>
        <a:p>
          <a:pPr>
            <a:defRPr sz="900" baseline="0">
              <a:latin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solidFill>
        <a:srgbClr val="E3DED3"/>
      </a:solidFill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baseline="0">
                <a:solidFill>
                  <a:srgbClr val="1E3932"/>
                </a:solidFill>
                <a:latin typeface="Segoe UI"/>
              </a:defRPr>
            </a:pPr>
            <a:r>
              <a:rPr lang="en-US" sz="1200" b="1" baseline="0">
                <a:solidFill>
                  <a:srgbClr val="1E3932"/>
                </a:solidFill>
                <a:latin typeface="Segoe UI"/>
              </a:rPr>
              <a:t>Coffee: demand vs supply (tonnes / year)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"/>
          <c:y val="0.14000000000000001"/>
          <c:w val="0.84"/>
          <c:h val="0.62"/>
        </c:manualLayout>
      </c:layout>
      <c:barChart>
        <c:barDir val="col"/>
        <c:grouping val="stacked"/>
        <c:varyColors val="0"/>
        <c:ser>
          <c:idx val="0"/>
          <c:order val="0"/>
          <c:tx>
            <c:v>Tonnes</c:v>
          </c:tx>
          <c:invertIfNegative val="0"/>
          <c:dPt>
            <c:idx val="0"/>
            <c:invertIfNegative val="0"/>
            <c:bubble3D val="0"/>
            <c:spPr>
              <a:solidFill>
                <a:srgbClr val="1E3932"/>
              </a:solidFill>
            </c:spPr>
            <c:extLst>
              <c:ext xmlns:c16="http://schemas.microsoft.com/office/drawing/2014/chart" uri="{C3380CC4-5D6E-409C-BE32-E72D297353CC}">
                <c16:uniqueId val="{00000000-976F-49F5-81E8-481773206F57}"/>
              </c:ext>
            </c:extLst>
          </c:dPt>
          <c:dPt>
            <c:idx val="1"/>
            <c:invertIfNegative val="0"/>
            <c:bubble3D val="0"/>
            <c:spPr>
              <a:solidFill>
                <a:srgbClr val="00704A"/>
              </a:solidFill>
            </c:spPr>
            <c:extLst>
              <c:ext xmlns:c16="http://schemas.microsoft.com/office/drawing/2014/chart" uri="{C3380CC4-5D6E-409C-BE32-E72D297353CC}">
                <c16:uniqueId val="{00000001-976F-49F5-81E8-481773206F57}"/>
              </c:ext>
            </c:extLst>
          </c:dPt>
          <c:dPt>
            <c:idx val="2"/>
            <c:invertIfNegative val="0"/>
            <c:bubble3D val="0"/>
            <c:spPr>
              <a:solidFill>
                <a:srgbClr val="CBA258"/>
              </a:solidFill>
            </c:spPr>
            <c:extLst>
              <c:ext xmlns:c16="http://schemas.microsoft.com/office/drawing/2014/chart" uri="{C3380CC4-5D6E-409C-BE32-E72D297353CC}">
                <c16:uniqueId val="{00000002-976F-49F5-81E8-481773206F57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>
                    <a:defRPr sz="1100" b="1" baseline="0">
                      <a:solidFill>
                        <a:srgbClr val="FFFFFF"/>
                      </a:solidFill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976F-49F5-81E8-481773206F57}"/>
                </c:ext>
              </c:extLst>
            </c:dLbl>
            <c:dLbl>
              <c:idx val="1"/>
              <c:spPr/>
              <c:txPr>
                <a:bodyPr/>
                <a:lstStyle/>
                <a:p>
                  <a:pPr>
                    <a:defRPr sz="1100" b="1" baseline="0">
                      <a:solidFill>
                        <a:srgbClr val="FFFFFF"/>
                      </a:solidFill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976F-49F5-81E8-481773206F57}"/>
                </c:ext>
              </c:extLst>
            </c:dLbl>
            <c:dLbl>
              <c:idx val="2"/>
              <c:spPr/>
              <c:txPr>
                <a:bodyPr/>
                <a:lstStyle/>
                <a:p>
                  <a:pPr>
                    <a:defRPr sz="1100" b="1" baseline="0">
                      <a:solidFill>
                        <a:srgbClr val="1E2A26"/>
                      </a:solidFill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976F-49F5-81E8-481773206F57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 baseline="0">
                    <a:latin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_calc!$A$14:$A$16</c:f>
              <c:strCache>
                <c:ptCount val="3"/>
                <c:pt idx="0">
                  <c:v>Consumption</c:v>
                </c:pt>
                <c:pt idx="1">
                  <c:v>Production</c:v>
                </c:pt>
                <c:pt idx="2">
                  <c:v>Imports</c:v>
                </c:pt>
              </c:strCache>
            </c:strRef>
          </c:cat>
          <c:val>
            <c:numRef>
              <c:f>_calc!$B$14:$B$16</c:f>
              <c:numCache>
                <c:formatCode>General</c:formatCode>
                <c:ptCount val="3"/>
                <c:pt idx="0">
                  <c:v>1800</c:v>
                </c:pt>
                <c:pt idx="1">
                  <c:v>586</c:v>
                </c:pt>
                <c:pt idx="2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6F-49F5-81E8-481773206F57}"/>
            </c:ext>
          </c:extLst>
        </c:ser>
        <c:ser>
          <c:idx val="1"/>
          <c:order val="1"/>
          <c:tx>
            <c:v>Upper import estimate</c:v>
          </c:tx>
          <c:spPr>
            <a:solidFill>
              <a:srgbClr val="E4C98F"/>
            </a:solidFill>
          </c:spPr>
          <c:invertIfNegative val="0"/>
          <c:cat>
            <c:strRef>
              <c:f>_calc!$A$14:$A$16</c:f>
              <c:strCache>
                <c:ptCount val="3"/>
                <c:pt idx="0">
                  <c:v>Consumption</c:v>
                </c:pt>
                <c:pt idx="1">
                  <c:v>Production</c:v>
                </c:pt>
                <c:pt idx="2">
                  <c:v>Imports</c:v>
                </c:pt>
              </c:strCache>
            </c:strRef>
          </c:cat>
          <c:val>
            <c:numRef>
              <c:f>_calc!$C$14:$C$16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76F-49F5-81E8-481773206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50080001"/>
        <c:axId val="50080002"/>
      </c:barChart>
      <c:catAx>
        <c:axId val="5008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80002"/>
        <c:crosses val="autoZero"/>
        <c:auto val="1"/>
        <c:lblAlgn val="ctr"/>
        <c:lblOffset val="100"/>
        <c:noMultiLvlLbl val="0"/>
      </c:catAx>
      <c:valAx>
        <c:axId val="50080002"/>
        <c:scaling>
          <c:orientation val="minMax"/>
        </c:scaling>
        <c:delete val="0"/>
        <c:axPos val="l"/>
        <c:majorGridlines>
          <c:spPr>
            <a:ln>
              <a:solidFill>
                <a:srgbClr val="E3DED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A74"/>
                </a:solidFill>
                <a:latin typeface="Segoe UI"/>
              </a:defRPr>
            </a:pPr>
            <a:endParaRPr lang="en-US"/>
          </a:p>
        </c:txPr>
        <c:crossAx val="50080001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solidFill>
      <a:srgbClr val="FFFFFF"/>
    </a:solidFill>
    <a:ln>
      <a:solidFill>
        <a:srgbClr val="E3DED3"/>
      </a:solidFill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baseline="0">
                <a:solidFill>
                  <a:srgbClr val="1E3932"/>
                </a:solidFill>
                <a:latin typeface="Segoe UI"/>
              </a:defRPr>
            </a:pPr>
            <a:r>
              <a:rPr lang="en-US" sz="1200" b="1" baseline="0">
                <a:solidFill>
                  <a:srgbClr val="1E3932"/>
                </a:solidFill>
                <a:latin typeface="Segoe UI"/>
              </a:rPr>
              <a:t>Hofstede: Nepal vs United States (0–100)</a:t>
            </a:r>
          </a:p>
        </c:rich>
      </c:tx>
      <c:layout>
        <c:manualLayout>
          <c:xMode val="edge"/>
          <c:yMode val="edge"/>
          <c:x val="2.1777335822712896E-3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3"/>
          <c:y val="0.13"/>
          <c:w val="0.65"/>
          <c:h val="0.62"/>
        </c:manualLayout>
      </c:layout>
      <c:barChart>
        <c:barDir val="bar"/>
        <c:grouping val="clustered"/>
        <c:varyColors val="0"/>
        <c:ser>
          <c:idx val="0"/>
          <c:order val="0"/>
          <c:tx>
            <c:v>Nepal</c:v>
          </c:tx>
          <c:spPr>
            <a:solidFill>
              <a:srgbClr val="00704A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_calc!$A$20:$A$23</c:f>
              <c:strCache>
                <c:ptCount val="4"/>
                <c:pt idx="0">
                  <c:v>Power distance</c:v>
                </c:pt>
                <c:pt idx="1">
                  <c:v>Individualism</c:v>
                </c:pt>
                <c:pt idx="2">
                  <c:v>Motivation towards achievement</c:v>
                </c:pt>
                <c:pt idx="3">
                  <c:v>Uncertainty avoidance</c:v>
                </c:pt>
              </c:strCache>
            </c:strRef>
          </c:cat>
          <c:val>
            <c:numRef>
              <c:f>_calc!$B$20:$B$23</c:f>
              <c:numCache>
                <c:formatCode>General</c:formatCode>
                <c:ptCount val="4"/>
                <c:pt idx="0">
                  <c:v>65</c:v>
                </c:pt>
                <c:pt idx="1">
                  <c:v>30</c:v>
                </c:pt>
                <c:pt idx="2">
                  <c:v>40</c:v>
                </c:pt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A1-48F1-83F6-59269B85979B}"/>
            </c:ext>
          </c:extLst>
        </c:ser>
        <c:ser>
          <c:idx val="1"/>
          <c:order val="1"/>
          <c:tx>
            <c:v>United States</c:v>
          </c:tx>
          <c:spPr>
            <a:solidFill>
              <a:srgbClr val="CBA25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_calc!$A$20:$A$23</c:f>
              <c:strCache>
                <c:ptCount val="4"/>
                <c:pt idx="0">
                  <c:v>Power distance</c:v>
                </c:pt>
                <c:pt idx="1">
                  <c:v>Individualism</c:v>
                </c:pt>
                <c:pt idx="2">
                  <c:v>Motivation towards achievement</c:v>
                </c:pt>
                <c:pt idx="3">
                  <c:v>Uncertainty avoidance</c:v>
                </c:pt>
              </c:strCache>
            </c:strRef>
          </c:cat>
          <c:val>
            <c:numRef>
              <c:f>_calc!$C$20:$C$23</c:f>
              <c:numCache>
                <c:formatCode>General</c:formatCode>
                <c:ptCount val="4"/>
                <c:pt idx="0">
                  <c:v>40</c:v>
                </c:pt>
                <c:pt idx="1">
                  <c:v>91</c:v>
                </c:pt>
                <c:pt idx="2">
                  <c:v>62</c:v>
                </c:pt>
                <c:pt idx="3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A1-48F1-83F6-59269B8597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50090001"/>
        <c:axId val="50090002"/>
      </c:barChart>
      <c:catAx>
        <c:axId val="50090001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latin typeface="Segoe UI"/>
              </a:defRPr>
            </a:pPr>
            <a:endParaRPr lang="en-US"/>
          </a:p>
        </c:txPr>
        <c:crossAx val="50090002"/>
        <c:crosses val="autoZero"/>
        <c:auto val="1"/>
        <c:lblAlgn val="ctr"/>
        <c:lblOffset val="100"/>
        <c:noMultiLvlLbl val="0"/>
      </c:catAx>
      <c:valAx>
        <c:axId val="50090002"/>
        <c:scaling>
          <c:orientation val="minMax"/>
          <c:max val="100"/>
          <c:min val="0"/>
        </c:scaling>
        <c:delete val="0"/>
        <c:axPos val="b"/>
        <c:majorGridlines>
          <c:spPr>
            <a:ln>
              <a:solidFill>
                <a:srgbClr val="E3DED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solidFill>
                  <a:srgbClr val="6B7A74"/>
                </a:solidFill>
                <a:latin typeface="Segoe UI"/>
              </a:defRPr>
            </a:pPr>
            <a:endParaRPr lang="en-US"/>
          </a:p>
        </c:txPr>
        <c:crossAx val="50090001"/>
        <c:crosses val="max"/>
        <c:crossBetween val="between"/>
      </c:valAx>
      <c:spPr>
        <a:noFill/>
      </c:spPr>
    </c:plotArea>
    <c:legend>
      <c:legendPos val="b"/>
      <c:layout>
        <c:manualLayout>
          <c:xMode val="edge"/>
          <c:yMode val="edge"/>
          <c:x val="0.3"/>
          <c:y val="0.81"/>
          <c:w val="0.5"/>
          <c:h val="7.0000000000000007E-2"/>
        </c:manualLayout>
      </c:layout>
      <c:overlay val="0"/>
      <c:txPr>
        <a:bodyPr/>
        <a:lstStyle/>
        <a:p>
          <a:pPr>
            <a:defRPr sz="900" baseline="0">
              <a:latin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solidFill>
        <a:srgbClr val="E3DED3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Sources'!A1"/><Relationship Id="rId3" Type="http://schemas.openxmlformats.org/officeDocument/2006/relationships/chart" Target="../charts/chart3.xml"/><Relationship Id="rId7" Type="http://schemas.openxmlformats.org/officeDocument/2006/relationships/hyperlink" Target="#'Strategy'!A1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hyperlink" Target="#'Nepal'!A1"/><Relationship Id="rId5" Type="http://schemas.openxmlformats.org/officeDocument/2006/relationships/hyperlink" Target="#'Starbucks'!A1"/><Relationship Id="rId4" Type="http://schemas.openxmlformats.org/officeDocument/2006/relationships/hyperlink" Target="#'Overview'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Sources'!A1"/><Relationship Id="rId3" Type="http://schemas.openxmlformats.org/officeDocument/2006/relationships/chart" Target="../charts/chart6.xml"/><Relationship Id="rId7" Type="http://schemas.openxmlformats.org/officeDocument/2006/relationships/hyperlink" Target="#'Strategy'!A1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hyperlink" Target="#'Nepal'!A1"/><Relationship Id="rId5" Type="http://schemas.openxmlformats.org/officeDocument/2006/relationships/hyperlink" Target="#'Starbucks'!A1"/><Relationship Id="rId4" Type="http://schemas.openxmlformats.org/officeDocument/2006/relationships/hyperlink" Target="#'Overview'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Sources'!A1"/><Relationship Id="rId3" Type="http://schemas.openxmlformats.org/officeDocument/2006/relationships/chart" Target="../charts/chart9.xml"/><Relationship Id="rId7" Type="http://schemas.openxmlformats.org/officeDocument/2006/relationships/hyperlink" Target="#'Strategy'!A1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hyperlink" Target="#'Nepal'!A1"/><Relationship Id="rId5" Type="http://schemas.openxmlformats.org/officeDocument/2006/relationships/hyperlink" Target="#'Starbucks'!A1"/><Relationship Id="rId4" Type="http://schemas.openxmlformats.org/officeDocument/2006/relationships/hyperlink" Target="#'Overview'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'Nepal'!A1"/><Relationship Id="rId2" Type="http://schemas.openxmlformats.org/officeDocument/2006/relationships/hyperlink" Target="#'Starbucks'!A1"/><Relationship Id="rId1" Type="http://schemas.openxmlformats.org/officeDocument/2006/relationships/hyperlink" Target="#'Overview'!A1"/><Relationship Id="rId5" Type="http://schemas.openxmlformats.org/officeDocument/2006/relationships/hyperlink" Target="#'Sources'!A1"/><Relationship Id="rId4" Type="http://schemas.openxmlformats.org/officeDocument/2006/relationships/hyperlink" Target="#'Strategy'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'Nepal'!A1"/><Relationship Id="rId2" Type="http://schemas.openxmlformats.org/officeDocument/2006/relationships/hyperlink" Target="#'Starbucks'!A1"/><Relationship Id="rId1" Type="http://schemas.openxmlformats.org/officeDocument/2006/relationships/hyperlink" Target="#'Overview'!A1"/><Relationship Id="rId5" Type="http://schemas.openxmlformats.org/officeDocument/2006/relationships/hyperlink" Target="#'Sources'!A1"/><Relationship Id="rId4" Type="http://schemas.openxmlformats.org/officeDocument/2006/relationships/hyperlink" Target="#'Strategy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571500</xdr:colOff>
      <xdr:row>21</xdr:row>
      <xdr:rowOff>152400</xdr:rowOff>
    </xdr:from>
    <xdr:to>
      <xdr:col>16</xdr:col>
      <xdr:colOff>400050</xdr:colOff>
      <xdr:row>40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16</xdr:col>
      <xdr:colOff>552450</xdr:colOff>
      <xdr:row>21</xdr:row>
      <xdr:rowOff>152400</xdr:rowOff>
    </xdr:from>
    <xdr:to>
      <xdr:col>24</xdr:col>
      <xdr:colOff>266700</xdr:colOff>
      <xdr:row>40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0</xdr:col>
      <xdr:colOff>342900</xdr:colOff>
      <xdr:row>41</xdr:row>
      <xdr:rowOff>76200</xdr:rowOff>
    </xdr:from>
    <xdr:to>
      <xdr:col>8</xdr:col>
      <xdr:colOff>38100</xdr:colOff>
      <xdr:row>56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0</xdr:col>
      <xdr:colOff>0</xdr:colOff>
      <xdr:row>0</xdr:row>
      <xdr:rowOff>0</xdr:rowOff>
    </xdr:from>
    <xdr:to>
      <xdr:col>25</xdr:col>
      <xdr:colOff>0</xdr:colOff>
      <xdr:row>3</xdr:row>
      <xdr:rowOff>171450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0" y="0"/>
          <a:ext cx="15240000" cy="742950"/>
        </a:xfrm>
        <a:prstGeom prst="rect">
          <a:avLst/>
        </a:prstGeom>
        <a:gradFill>
          <a:gsLst>
            <a:gs pos="0">
              <a:srgbClr val="1E3932"/>
            </a:gs>
            <a:gs pos="100000">
              <a:srgbClr val="2C5A4C"/>
            </a:gs>
          </a:gsLst>
          <a:lin ang="1200000" scaled="0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0</xdr:col>
      <xdr:colOff>342900</xdr:colOff>
      <xdr:row>0</xdr:row>
      <xdr:rowOff>133350</xdr:rowOff>
    </xdr:from>
    <xdr:to>
      <xdr:col>9</xdr:col>
      <xdr:colOff>190500</xdr:colOff>
      <xdr:row>3</xdr:row>
      <xdr:rowOff>38100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342900" y="133350"/>
          <a:ext cx="5334000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800" b="1" i="0">
              <a:solidFill>
                <a:srgbClr val="FFFFFF"/>
              </a:solidFill>
              <a:latin typeface="Segoe UI"/>
              <a:cs typeface="Segoe UI"/>
            </a:rPr>
            <a:t>STARBUCKS &amp; NEPAL :</a:t>
          </a:r>
          <a:r>
            <a:rPr lang="en-US" sz="1800" b="1" i="0" baseline="0">
              <a:solidFill>
                <a:srgbClr val="FFFFFF"/>
              </a:solidFill>
              <a:latin typeface="Segoe UI"/>
              <a:cs typeface="Segoe UI"/>
            </a:rPr>
            <a:t> Overview</a:t>
          </a:r>
          <a:endParaRPr lang="en-US" sz="1800" b="1" i="0">
            <a:solidFill>
              <a:srgbClr val="FFFFFF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11</xdr:col>
      <xdr:colOff>533400</xdr:colOff>
      <xdr:row>1</xdr:row>
      <xdr:rowOff>1518</xdr:rowOff>
    </xdr:from>
    <xdr:to>
      <xdr:col>14</xdr:col>
      <xdr:colOff>133350</xdr:colOff>
      <xdr:row>3</xdr:row>
      <xdr:rowOff>1518</xdr:rowOff>
    </xdr:to>
    <xdr:sp macro="" textlink="">
      <xdr:nvSpPr>
        <xdr:cNvPr id="7" name="TextBox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7239000" y="180975"/>
          <a:ext cx="1428750" cy="381000"/>
        </a:xfrm>
        <a:prstGeom prst="rect">
          <a:avLst/>
        </a:prstGeom>
        <a:solidFill>
          <a:srgbClr val="CBA258"/>
        </a:solidFill>
        <a:ln w="9525" cmpd="sng">
          <a:solidFill>
            <a:srgbClr val="CBA258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100" b="1" i="0">
              <a:solidFill>
                <a:srgbClr val="1E3932"/>
              </a:solidFill>
              <a:latin typeface="Segoe UI"/>
              <a:cs typeface="Segoe UI"/>
            </a:rPr>
            <a:t>Overview</a:t>
          </a:r>
        </a:p>
      </xdr:txBody>
    </xdr:sp>
    <xdr:clientData/>
  </xdr:twoCellAnchor>
  <xdr:twoCellAnchor editAs="absolute">
    <xdr:from>
      <xdr:col>14</xdr:col>
      <xdr:colOff>228600</xdr:colOff>
      <xdr:row>1</xdr:row>
      <xdr:rowOff>1518</xdr:rowOff>
    </xdr:from>
    <xdr:to>
      <xdr:col>16</xdr:col>
      <xdr:colOff>438150</xdr:colOff>
      <xdr:row>3</xdr:row>
      <xdr:rowOff>1518</xdr:rowOff>
    </xdr:to>
    <xdr:sp macro="" textlink="">
      <xdr:nvSpPr>
        <xdr:cNvPr id="8" name="TextBox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63000" y="180975"/>
          <a:ext cx="1428750" cy="381000"/>
        </a:xfrm>
        <a:prstGeom prst="rect">
          <a:avLst/>
        </a:prstGeom>
        <a:noFill/>
        <a:ln w="9525" cmpd="sng">
          <a:solidFill>
            <a:srgbClr val="6F8F8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100" b="1" i="0">
              <a:solidFill>
                <a:srgbClr val="DDE8E3"/>
              </a:solidFill>
              <a:latin typeface="Segoe UI"/>
              <a:cs typeface="Segoe UI"/>
            </a:rPr>
            <a:t>Starbucks</a:t>
          </a:r>
        </a:p>
      </xdr:txBody>
    </xdr:sp>
    <xdr:clientData/>
  </xdr:twoCellAnchor>
  <xdr:twoCellAnchor editAs="absolute">
    <xdr:from>
      <xdr:col>16</xdr:col>
      <xdr:colOff>533400</xdr:colOff>
      <xdr:row>1</xdr:row>
      <xdr:rowOff>1518</xdr:rowOff>
    </xdr:from>
    <xdr:to>
      <xdr:col>19</xdr:col>
      <xdr:colOff>133350</xdr:colOff>
      <xdr:row>3</xdr:row>
      <xdr:rowOff>1518</xdr:rowOff>
    </xdr:to>
    <xdr:sp macro="" textlink="">
      <xdr:nvSpPr>
        <xdr:cNvPr id="9" name="TextBox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287000" y="180975"/>
          <a:ext cx="1428750" cy="381000"/>
        </a:xfrm>
        <a:prstGeom prst="rect">
          <a:avLst/>
        </a:prstGeom>
        <a:noFill/>
        <a:ln w="9525" cmpd="sng">
          <a:solidFill>
            <a:srgbClr val="6F8F8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100" b="1" i="0">
              <a:solidFill>
                <a:srgbClr val="DDE8E3"/>
              </a:solidFill>
              <a:latin typeface="Segoe UI"/>
              <a:cs typeface="Segoe UI"/>
            </a:rPr>
            <a:t>Nepal</a:t>
          </a:r>
        </a:p>
      </xdr:txBody>
    </xdr:sp>
    <xdr:clientData/>
  </xdr:twoCellAnchor>
  <xdr:twoCellAnchor editAs="absolute">
    <xdr:from>
      <xdr:col>19</xdr:col>
      <xdr:colOff>228600</xdr:colOff>
      <xdr:row>1</xdr:row>
      <xdr:rowOff>1518</xdr:rowOff>
    </xdr:from>
    <xdr:to>
      <xdr:col>21</xdr:col>
      <xdr:colOff>438150</xdr:colOff>
      <xdr:row>3</xdr:row>
      <xdr:rowOff>1518</xdr:rowOff>
    </xdr:to>
    <xdr:sp macro="" textlink="">
      <xdr:nvSpPr>
        <xdr:cNvPr id="10" name="TextBox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1811000" y="180975"/>
          <a:ext cx="1428750" cy="381000"/>
        </a:xfrm>
        <a:prstGeom prst="rect">
          <a:avLst/>
        </a:prstGeom>
        <a:noFill/>
        <a:ln w="9525" cmpd="sng">
          <a:solidFill>
            <a:srgbClr val="6F8F8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100" b="1" i="0">
              <a:solidFill>
                <a:srgbClr val="DDE8E3"/>
              </a:solidFill>
              <a:latin typeface="Segoe UI"/>
              <a:cs typeface="Segoe UI"/>
            </a:rPr>
            <a:t>Strategy</a:t>
          </a:r>
        </a:p>
      </xdr:txBody>
    </xdr:sp>
    <xdr:clientData/>
  </xdr:twoCellAnchor>
  <xdr:twoCellAnchor editAs="absolute">
    <xdr:from>
      <xdr:col>21</xdr:col>
      <xdr:colOff>533400</xdr:colOff>
      <xdr:row>1</xdr:row>
      <xdr:rowOff>1518</xdr:rowOff>
    </xdr:from>
    <xdr:to>
      <xdr:col>24</xdr:col>
      <xdr:colOff>133350</xdr:colOff>
      <xdr:row>3</xdr:row>
      <xdr:rowOff>1518</xdr:rowOff>
    </xdr:to>
    <xdr:sp macro="" textlink="">
      <xdr:nvSpPr>
        <xdr:cNvPr id="11" name="TextBox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3335000" y="180975"/>
          <a:ext cx="1428750" cy="381000"/>
        </a:xfrm>
        <a:prstGeom prst="rect">
          <a:avLst/>
        </a:prstGeom>
        <a:noFill/>
        <a:ln w="9525" cmpd="sng">
          <a:solidFill>
            <a:srgbClr val="6F8F8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100" b="1" i="0">
              <a:solidFill>
                <a:srgbClr val="DDE8E3"/>
              </a:solidFill>
              <a:latin typeface="Segoe UI"/>
              <a:cs typeface="Segoe UI"/>
            </a:rPr>
            <a:t>Sources</a:t>
          </a:r>
        </a:p>
      </xdr:txBody>
    </xdr:sp>
    <xdr:clientData/>
  </xdr:twoCellAnchor>
  <xdr:twoCellAnchor editAs="absolute">
    <xdr:from>
      <xdr:col>0</xdr:col>
      <xdr:colOff>342900</xdr:colOff>
      <xdr:row>4</xdr:row>
      <xdr:rowOff>152400</xdr:rowOff>
    </xdr:from>
    <xdr:to>
      <xdr:col>13</xdr:col>
      <xdr:colOff>38100</xdr:colOff>
      <xdr:row>6</xdr:row>
      <xdr:rowOff>152400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342900" y="914400"/>
          <a:ext cx="762000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2600" b="1" i="0">
              <a:solidFill>
                <a:srgbClr val="1E3932"/>
              </a:solidFill>
              <a:latin typeface="Segoe UI"/>
              <a:cs typeface="Segoe UI"/>
            </a:rPr>
            <a:t>Overview</a:t>
          </a:r>
        </a:p>
      </xdr:txBody>
    </xdr:sp>
    <xdr:clientData/>
  </xdr:twoCellAnchor>
  <xdr:twoCellAnchor editAs="absolute">
    <xdr:from>
      <xdr:col>0</xdr:col>
      <xdr:colOff>342900</xdr:colOff>
      <xdr:row>6</xdr:row>
      <xdr:rowOff>171450</xdr:rowOff>
    </xdr:from>
    <xdr:to>
      <xdr:col>22</xdr:col>
      <xdr:colOff>266700</xdr:colOff>
      <xdr:row>8</xdr:row>
      <xdr:rowOff>57150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342900" y="1314450"/>
          <a:ext cx="133350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 b="0" i="0">
              <a:solidFill>
                <a:srgbClr val="6B7A74"/>
              </a:solidFill>
              <a:latin typeface="Segoe UI"/>
              <a:cs typeface="Segoe UI"/>
            </a:rPr>
            <a:t>Should Starbucks enter Nepal, and how? Key evidence from FY2025 results, World Bank and Hofstede data</a:t>
          </a:r>
        </a:p>
      </xdr:txBody>
    </xdr:sp>
    <xdr:clientData/>
  </xdr:twoCellAnchor>
  <xdr:twoCellAnchor editAs="absolute">
    <xdr:from>
      <xdr:col>0</xdr:col>
      <xdr:colOff>342900</xdr:colOff>
      <xdr:row>9</xdr:row>
      <xdr:rowOff>0</xdr:rowOff>
    </xdr:from>
    <xdr:to>
      <xdr:col>6</xdr:col>
      <xdr:colOff>228600</xdr:colOff>
      <xdr:row>14</xdr:row>
      <xdr:rowOff>114300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342900" y="1714500"/>
          <a:ext cx="3543300" cy="1066800"/>
        </a:xfrm>
        <a:prstGeom prst="rect">
          <a:avLst/>
        </a:prstGeom>
        <a:solidFill>
          <a:srgbClr val="FFFFFF"/>
        </a:solidFill>
        <a:ln w="9525" cmpd="sng">
          <a:solidFill>
            <a:srgbClr val="E3DED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0</xdr:col>
      <xdr:colOff>342900</xdr:colOff>
      <xdr:row>9</xdr:row>
      <xdr:rowOff>0</xdr:rowOff>
    </xdr:from>
    <xdr:to>
      <xdr:col>0</xdr:col>
      <xdr:colOff>409575</xdr:colOff>
      <xdr:row>14</xdr:row>
      <xdr:rowOff>114300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342900" y="1714500"/>
          <a:ext cx="66675" cy="1066800"/>
        </a:xfrm>
        <a:prstGeom prst="rect">
          <a:avLst/>
        </a:prstGeom>
        <a:solidFill>
          <a:srgbClr val="00704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0</xdr:col>
      <xdr:colOff>533400</xdr:colOff>
      <xdr:row>9</xdr:row>
      <xdr:rowOff>76200</xdr:rowOff>
    </xdr:from>
    <xdr:to>
      <xdr:col>6</xdr:col>
      <xdr:colOff>133350</xdr:colOff>
      <xdr:row>10</xdr:row>
      <xdr:rowOff>114300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533400" y="1790700"/>
          <a:ext cx="325755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 b="0" i="0">
              <a:solidFill>
                <a:srgbClr val="6B7A74"/>
              </a:solidFill>
              <a:latin typeface="Segoe UI"/>
              <a:cs typeface="Segoe UI"/>
            </a:rPr>
            <a:t>Total stores globally</a:t>
          </a:r>
        </a:p>
      </xdr:txBody>
    </xdr:sp>
    <xdr:clientData/>
  </xdr:twoCellAnchor>
  <xdr:twoCellAnchor editAs="absolute">
    <xdr:from>
      <xdr:col>0</xdr:col>
      <xdr:colOff>533400</xdr:colOff>
      <xdr:row>10</xdr:row>
      <xdr:rowOff>95250</xdr:rowOff>
    </xdr:from>
    <xdr:to>
      <xdr:col>6</xdr:col>
      <xdr:colOff>133350</xdr:colOff>
      <xdr:row>12</xdr:row>
      <xdr:rowOff>171450</xdr:rowOff>
    </xdr:to>
    <xdr:sp macro="" textlink="_calc!$B$1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533400" y="2000250"/>
          <a:ext cx="3257550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fld id="{B8ADDEFE-BF52-4FD4-8C5D-6B85EF6FF707}" type="TxLink">
            <a:rPr lang="en-US" sz="2600" b="1" i="0">
              <a:solidFill>
                <a:srgbClr val="1E3932"/>
              </a:solidFill>
              <a:latin typeface="Segoe UI"/>
              <a:cs typeface="Segoe UI"/>
            </a:rPr>
            <a:pPr/>
            <a:t>40,990</a:t>
          </a:fld>
          <a:endParaRPr lang="en-US" sz="2600" b="1" i="0">
            <a:solidFill>
              <a:srgbClr val="1E3932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0</xdr:col>
      <xdr:colOff>533400</xdr:colOff>
      <xdr:row>13</xdr:row>
      <xdr:rowOff>0</xdr:rowOff>
    </xdr:from>
    <xdr:to>
      <xdr:col>6</xdr:col>
      <xdr:colOff>133350</xdr:colOff>
      <xdr:row>14</xdr:row>
      <xdr:rowOff>38100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533400" y="2476500"/>
          <a:ext cx="325755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900" b="0" i="0">
              <a:solidFill>
                <a:srgbClr val="6B7A74"/>
              </a:solidFill>
              <a:latin typeface="Segoe UI"/>
              <a:cs typeface="Segoe UI"/>
            </a:rPr>
            <a:t>Starbucks (2025a)</a:t>
          </a:r>
        </a:p>
      </xdr:txBody>
    </xdr:sp>
    <xdr:clientData/>
  </xdr:twoCellAnchor>
  <xdr:twoCellAnchor editAs="absolute">
    <xdr:from>
      <xdr:col>6</xdr:col>
      <xdr:colOff>381000</xdr:colOff>
      <xdr:row>9</xdr:row>
      <xdr:rowOff>0</xdr:rowOff>
    </xdr:from>
    <xdr:to>
      <xdr:col>12</xdr:col>
      <xdr:colOff>266700</xdr:colOff>
      <xdr:row>14</xdr:row>
      <xdr:rowOff>114300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4038600" y="1714500"/>
          <a:ext cx="3543300" cy="1066800"/>
        </a:xfrm>
        <a:prstGeom prst="rect">
          <a:avLst/>
        </a:prstGeom>
        <a:solidFill>
          <a:srgbClr val="FFFFFF"/>
        </a:solidFill>
        <a:ln w="9525" cmpd="sng">
          <a:solidFill>
            <a:srgbClr val="E3DED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6</xdr:col>
      <xdr:colOff>381000</xdr:colOff>
      <xdr:row>9</xdr:row>
      <xdr:rowOff>0</xdr:rowOff>
    </xdr:from>
    <xdr:to>
      <xdr:col>6</xdr:col>
      <xdr:colOff>447675</xdr:colOff>
      <xdr:row>14</xdr:row>
      <xdr:rowOff>114300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4038600" y="1714500"/>
          <a:ext cx="66675" cy="1066800"/>
        </a:xfrm>
        <a:prstGeom prst="rect">
          <a:avLst/>
        </a:prstGeom>
        <a:solidFill>
          <a:srgbClr val="00704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6</xdr:col>
      <xdr:colOff>571500</xdr:colOff>
      <xdr:row>9</xdr:row>
      <xdr:rowOff>76200</xdr:rowOff>
    </xdr:from>
    <xdr:to>
      <xdr:col>12</xdr:col>
      <xdr:colOff>171450</xdr:colOff>
      <xdr:row>10</xdr:row>
      <xdr:rowOff>114300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229100" y="1790700"/>
          <a:ext cx="325755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 b="0" i="0">
              <a:solidFill>
                <a:srgbClr val="6B7A74"/>
              </a:solidFill>
              <a:latin typeface="Segoe UI"/>
              <a:cs typeface="Segoe UI"/>
            </a:rPr>
            <a:t>Net revenue</a:t>
          </a:r>
        </a:p>
      </xdr:txBody>
    </xdr:sp>
    <xdr:clientData/>
  </xdr:twoCellAnchor>
  <xdr:twoCellAnchor editAs="absolute">
    <xdr:from>
      <xdr:col>6</xdr:col>
      <xdr:colOff>571500</xdr:colOff>
      <xdr:row>10</xdr:row>
      <xdr:rowOff>95250</xdr:rowOff>
    </xdr:from>
    <xdr:to>
      <xdr:col>12</xdr:col>
      <xdr:colOff>171450</xdr:colOff>
      <xdr:row>12</xdr:row>
      <xdr:rowOff>171450</xdr:rowOff>
    </xdr:to>
    <xdr:sp macro="" textlink="_calc!$B$2">
      <xdr:nvSpPr>
        <xdr:cNvPr id="22" name="TextBox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4229100" y="2000250"/>
          <a:ext cx="3257550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fld id="{B8ADDEFE-BF52-4FD4-8C5D-6B85EF6FF707}" type="TxLink">
            <a:rPr lang="en-US" sz="2600" b="1" i="0">
              <a:solidFill>
                <a:srgbClr val="1E3932"/>
              </a:solidFill>
              <a:latin typeface="Segoe UI"/>
              <a:cs typeface="Segoe UI"/>
            </a:rPr>
            <a:pPr/>
            <a:t>US$37.2bn</a:t>
          </a:fld>
          <a:endParaRPr lang="en-US" sz="2600" b="1" i="0">
            <a:solidFill>
              <a:srgbClr val="1E3932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6</xdr:col>
      <xdr:colOff>571500</xdr:colOff>
      <xdr:row>13</xdr:row>
      <xdr:rowOff>0</xdr:rowOff>
    </xdr:from>
    <xdr:to>
      <xdr:col>12</xdr:col>
      <xdr:colOff>171450</xdr:colOff>
      <xdr:row>14</xdr:row>
      <xdr:rowOff>38100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4229100" y="2476500"/>
          <a:ext cx="325755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900" b="0" i="0">
              <a:solidFill>
                <a:srgbClr val="6B7A74"/>
              </a:solidFill>
              <a:latin typeface="Segoe UI"/>
              <a:cs typeface="Segoe UI"/>
            </a:rPr>
            <a:t>Starbucks (2025a)</a:t>
          </a:r>
        </a:p>
      </xdr:txBody>
    </xdr:sp>
    <xdr:clientData/>
  </xdr:twoCellAnchor>
  <xdr:twoCellAnchor editAs="absolute">
    <xdr:from>
      <xdr:col>12</xdr:col>
      <xdr:colOff>419100</xdr:colOff>
      <xdr:row>9</xdr:row>
      <xdr:rowOff>0</xdr:rowOff>
    </xdr:from>
    <xdr:to>
      <xdr:col>18</xdr:col>
      <xdr:colOff>304800</xdr:colOff>
      <xdr:row>14</xdr:row>
      <xdr:rowOff>114300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7734300" y="1714500"/>
          <a:ext cx="3543300" cy="1066800"/>
        </a:xfrm>
        <a:prstGeom prst="rect">
          <a:avLst/>
        </a:prstGeom>
        <a:solidFill>
          <a:srgbClr val="FFFFFF"/>
        </a:solidFill>
        <a:ln w="9525" cmpd="sng">
          <a:solidFill>
            <a:srgbClr val="E3DED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12</xdr:col>
      <xdr:colOff>419100</xdr:colOff>
      <xdr:row>9</xdr:row>
      <xdr:rowOff>0</xdr:rowOff>
    </xdr:from>
    <xdr:to>
      <xdr:col>12</xdr:col>
      <xdr:colOff>485775</xdr:colOff>
      <xdr:row>14</xdr:row>
      <xdr:rowOff>114300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7734300" y="1714500"/>
          <a:ext cx="66675" cy="1066800"/>
        </a:xfrm>
        <a:prstGeom prst="rect">
          <a:avLst/>
        </a:prstGeom>
        <a:solidFill>
          <a:srgbClr val="B5533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13</xdr:col>
      <xdr:colOff>0</xdr:colOff>
      <xdr:row>9</xdr:row>
      <xdr:rowOff>76200</xdr:rowOff>
    </xdr:from>
    <xdr:to>
      <xdr:col>18</xdr:col>
      <xdr:colOff>209550</xdr:colOff>
      <xdr:row>10</xdr:row>
      <xdr:rowOff>114300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7924800" y="1790700"/>
          <a:ext cx="325755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 b="0" i="0">
              <a:solidFill>
                <a:srgbClr val="6B7A74"/>
              </a:solidFill>
              <a:latin typeface="Segoe UI"/>
              <a:cs typeface="Segoe UI"/>
            </a:rPr>
            <a:t>GAAP operating margin</a:t>
          </a:r>
        </a:p>
      </xdr:txBody>
    </xdr:sp>
    <xdr:clientData/>
  </xdr:twoCellAnchor>
  <xdr:twoCellAnchor editAs="absolute">
    <xdr:from>
      <xdr:col>13</xdr:col>
      <xdr:colOff>0</xdr:colOff>
      <xdr:row>10</xdr:row>
      <xdr:rowOff>95250</xdr:rowOff>
    </xdr:from>
    <xdr:to>
      <xdr:col>18</xdr:col>
      <xdr:colOff>209550</xdr:colOff>
      <xdr:row>12</xdr:row>
      <xdr:rowOff>171450</xdr:rowOff>
    </xdr:to>
    <xdr:sp macro="" textlink="_calc!$B$3">
      <xdr:nvSpPr>
        <xdr:cNvPr id="27" name="TextBox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7924800" y="2000250"/>
          <a:ext cx="3257550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fld id="{B8ADDEFE-BF52-4FD4-8C5D-6B85EF6FF707}" type="TxLink">
            <a:rPr lang="en-US" sz="2600" b="1" i="0">
              <a:solidFill>
                <a:srgbClr val="1E3932"/>
              </a:solidFill>
              <a:latin typeface="Segoe UI"/>
              <a:cs typeface="Segoe UI"/>
            </a:rPr>
            <a:pPr/>
            <a:t>7.9%</a:t>
          </a:fld>
          <a:endParaRPr lang="en-US" sz="2600" b="1" i="0">
            <a:solidFill>
              <a:srgbClr val="1E3932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13</xdr:col>
      <xdr:colOff>0</xdr:colOff>
      <xdr:row>13</xdr:row>
      <xdr:rowOff>0</xdr:rowOff>
    </xdr:from>
    <xdr:to>
      <xdr:col>18</xdr:col>
      <xdr:colOff>209550</xdr:colOff>
      <xdr:row>14</xdr:row>
      <xdr:rowOff>38100</xdr:rowOff>
    </xdr:to>
    <xdr:sp macro="" textlink="_calc!$B$4">
      <xdr:nvSpPr>
        <xdr:cNvPr id="28" name="TextBox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7924800" y="2476500"/>
          <a:ext cx="325755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fld id="{B8ADDEFE-BF52-4FD4-8C5D-6B85EF6FF707}" type="TxLink">
            <a:rPr lang="en-US" sz="900" b="0" i="0">
              <a:solidFill>
                <a:srgbClr val="6B7A74"/>
              </a:solidFill>
              <a:latin typeface="Segoe UI"/>
              <a:cs typeface="Segoe UI"/>
            </a:rPr>
            <a:pPr/>
            <a:t>▼ 710 bps contraction</a:t>
          </a:fld>
          <a:endParaRPr lang="en-US" sz="900" b="0" i="0">
            <a:solidFill>
              <a:srgbClr val="6B7A74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18</xdr:col>
      <xdr:colOff>457200</xdr:colOff>
      <xdr:row>9</xdr:row>
      <xdr:rowOff>0</xdr:rowOff>
    </xdr:from>
    <xdr:to>
      <xdr:col>24</xdr:col>
      <xdr:colOff>342900</xdr:colOff>
      <xdr:row>14</xdr:row>
      <xdr:rowOff>114300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11430000" y="1714500"/>
          <a:ext cx="3543300" cy="1066800"/>
        </a:xfrm>
        <a:prstGeom prst="rect">
          <a:avLst/>
        </a:prstGeom>
        <a:solidFill>
          <a:srgbClr val="FFFFFF"/>
        </a:solidFill>
        <a:ln w="9525" cmpd="sng">
          <a:solidFill>
            <a:srgbClr val="E3DED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18</xdr:col>
      <xdr:colOff>457200</xdr:colOff>
      <xdr:row>9</xdr:row>
      <xdr:rowOff>0</xdr:rowOff>
    </xdr:from>
    <xdr:to>
      <xdr:col>18</xdr:col>
      <xdr:colOff>523875</xdr:colOff>
      <xdr:row>14</xdr:row>
      <xdr:rowOff>114300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11430000" y="1714500"/>
          <a:ext cx="66675" cy="1066800"/>
        </a:xfrm>
        <a:prstGeom prst="rect">
          <a:avLst/>
        </a:prstGeom>
        <a:solidFill>
          <a:srgbClr val="00704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19</xdr:col>
      <xdr:colOff>38100</xdr:colOff>
      <xdr:row>9</xdr:row>
      <xdr:rowOff>76200</xdr:rowOff>
    </xdr:from>
    <xdr:to>
      <xdr:col>24</xdr:col>
      <xdr:colOff>247650</xdr:colOff>
      <xdr:row>10</xdr:row>
      <xdr:rowOff>114300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11620500" y="1790700"/>
          <a:ext cx="325755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 b="0" i="0">
              <a:solidFill>
                <a:srgbClr val="6B7A74"/>
              </a:solidFill>
              <a:latin typeface="Segoe UI"/>
              <a:cs typeface="Segoe UI"/>
            </a:rPr>
            <a:t>US + China share of stores</a:t>
          </a:r>
        </a:p>
      </xdr:txBody>
    </xdr:sp>
    <xdr:clientData/>
  </xdr:twoCellAnchor>
  <xdr:twoCellAnchor editAs="absolute">
    <xdr:from>
      <xdr:col>19</xdr:col>
      <xdr:colOff>38100</xdr:colOff>
      <xdr:row>10</xdr:row>
      <xdr:rowOff>95250</xdr:rowOff>
    </xdr:from>
    <xdr:to>
      <xdr:col>24</xdr:col>
      <xdr:colOff>247650</xdr:colOff>
      <xdr:row>12</xdr:row>
      <xdr:rowOff>171450</xdr:rowOff>
    </xdr:to>
    <xdr:sp macro="" textlink="_calc!$B$5">
      <xdr:nvSpPr>
        <xdr:cNvPr id="32" name="TextBox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11620500" y="2000250"/>
          <a:ext cx="3257550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fld id="{B8ADDEFE-BF52-4FD4-8C5D-6B85EF6FF707}" type="TxLink">
            <a:rPr lang="en-US" sz="2600" b="1" i="0">
              <a:solidFill>
                <a:srgbClr val="1E3932"/>
              </a:solidFill>
              <a:latin typeface="Segoe UI"/>
              <a:cs typeface="Segoe UI"/>
            </a:rPr>
            <a:pPr/>
            <a:t>61%</a:t>
          </a:fld>
          <a:endParaRPr lang="en-US" sz="2600" b="1" i="0">
            <a:solidFill>
              <a:srgbClr val="1E3932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19</xdr:col>
      <xdr:colOff>38100</xdr:colOff>
      <xdr:row>13</xdr:row>
      <xdr:rowOff>0</xdr:rowOff>
    </xdr:from>
    <xdr:to>
      <xdr:col>24</xdr:col>
      <xdr:colOff>247650</xdr:colOff>
      <xdr:row>14</xdr:row>
      <xdr:rowOff>38100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11620500" y="2476500"/>
          <a:ext cx="325755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900" b="0" i="0">
              <a:solidFill>
                <a:srgbClr val="6B7A74"/>
              </a:solidFill>
              <a:latin typeface="Segoe UI"/>
              <a:cs typeface="Segoe UI"/>
            </a:rPr>
            <a:t>Concentration risk</a:t>
          </a:r>
        </a:p>
      </xdr:txBody>
    </xdr:sp>
    <xdr:clientData/>
  </xdr:twoCellAnchor>
  <xdr:twoCellAnchor editAs="absolute">
    <xdr:from>
      <xdr:col>0</xdr:col>
      <xdr:colOff>342900</xdr:colOff>
      <xdr:row>15</xdr:row>
      <xdr:rowOff>76200</xdr:rowOff>
    </xdr:from>
    <xdr:to>
      <xdr:col>6</xdr:col>
      <xdr:colOff>228600</xdr:colOff>
      <xdr:row>21</xdr:row>
      <xdr:rowOff>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342900" y="2933700"/>
          <a:ext cx="3543300" cy="1066800"/>
        </a:xfrm>
        <a:prstGeom prst="rect">
          <a:avLst/>
        </a:prstGeom>
        <a:solidFill>
          <a:srgbClr val="FFFFFF"/>
        </a:solidFill>
        <a:ln w="9525" cmpd="sng">
          <a:solidFill>
            <a:srgbClr val="E3DED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0</xdr:col>
      <xdr:colOff>342900</xdr:colOff>
      <xdr:row>15</xdr:row>
      <xdr:rowOff>76200</xdr:rowOff>
    </xdr:from>
    <xdr:to>
      <xdr:col>0</xdr:col>
      <xdr:colOff>409575</xdr:colOff>
      <xdr:row>21</xdr:row>
      <xdr:rowOff>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342900" y="2933700"/>
          <a:ext cx="66675" cy="1066800"/>
        </a:xfrm>
        <a:prstGeom prst="rect">
          <a:avLst/>
        </a:prstGeom>
        <a:solidFill>
          <a:srgbClr val="CBA258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0</xdr:col>
      <xdr:colOff>533400</xdr:colOff>
      <xdr:row>15</xdr:row>
      <xdr:rowOff>152400</xdr:rowOff>
    </xdr:from>
    <xdr:to>
      <xdr:col>6</xdr:col>
      <xdr:colOff>133350</xdr:colOff>
      <xdr:row>17</xdr:row>
      <xdr:rowOff>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533400" y="3009900"/>
          <a:ext cx="325755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 b="0" i="0">
              <a:solidFill>
                <a:srgbClr val="6B7A74"/>
              </a:solidFill>
              <a:latin typeface="Segoe UI"/>
              <a:cs typeface="Segoe UI"/>
            </a:rPr>
            <a:t>Nepal population</a:t>
          </a:r>
        </a:p>
      </xdr:txBody>
    </xdr:sp>
    <xdr:clientData/>
  </xdr:twoCellAnchor>
  <xdr:twoCellAnchor editAs="absolute">
    <xdr:from>
      <xdr:col>0</xdr:col>
      <xdr:colOff>533400</xdr:colOff>
      <xdr:row>16</xdr:row>
      <xdr:rowOff>171450</xdr:rowOff>
    </xdr:from>
    <xdr:to>
      <xdr:col>6</xdr:col>
      <xdr:colOff>133350</xdr:colOff>
      <xdr:row>19</xdr:row>
      <xdr:rowOff>57150</xdr:rowOff>
    </xdr:to>
    <xdr:sp macro="" textlink="_calc!$B$6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533400" y="3219450"/>
          <a:ext cx="3257550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fld id="{B8ADDEFE-BF52-4FD4-8C5D-6B85EF6FF707}" type="TxLink">
            <a:rPr lang="en-US" sz="2600" b="1" i="0">
              <a:solidFill>
                <a:srgbClr val="1E3932"/>
              </a:solidFill>
              <a:latin typeface="Segoe UI"/>
              <a:cs typeface="Segoe UI"/>
            </a:rPr>
            <a:pPr/>
            <a:t>29.6m</a:t>
          </a:fld>
          <a:endParaRPr lang="en-US" sz="2600" b="1" i="0">
            <a:solidFill>
              <a:srgbClr val="1E3932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0</xdr:col>
      <xdr:colOff>533400</xdr:colOff>
      <xdr:row>19</xdr:row>
      <xdr:rowOff>76200</xdr:rowOff>
    </xdr:from>
    <xdr:to>
      <xdr:col>6</xdr:col>
      <xdr:colOff>133350</xdr:colOff>
      <xdr:row>20</xdr:row>
      <xdr:rowOff>114300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533400" y="3695700"/>
          <a:ext cx="325755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900" b="0" i="0">
              <a:solidFill>
                <a:srgbClr val="6B7A74"/>
              </a:solidFill>
              <a:latin typeface="Segoe UI"/>
              <a:cs typeface="Segoe UI"/>
            </a:rPr>
            <a:t>World Bank (2025)</a:t>
          </a:r>
        </a:p>
      </xdr:txBody>
    </xdr:sp>
    <xdr:clientData/>
  </xdr:twoCellAnchor>
  <xdr:twoCellAnchor editAs="absolute">
    <xdr:from>
      <xdr:col>6</xdr:col>
      <xdr:colOff>381000</xdr:colOff>
      <xdr:row>15</xdr:row>
      <xdr:rowOff>76200</xdr:rowOff>
    </xdr:from>
    <xdr:to>
      <xdr:col>12</xdr:col>
      <xdr:colOff>266700</xdr:colOff>
      <xdr:row>21</xdr:row>
      <xdr:rowOff>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4038600" y="2933700"/>
          <a:ext cx="3543300" cy="1066800"/>
        </a:xfrm>
        <a:prstGeom prst="rect">
          <a:avLst/>
        </a:prstGeom>
        <a:solidFill>
          <a:srgbClr val="FFFFFF"/>
        </a:solidFill>
        <a:ln w="9525" cmpd="sng">
          <a:solidFill>
            <a:srgbClr val="E3DED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6</xdr:col>
      <xdr:colOff>381000</xdr:colOff>
      <xdr:row>15</xdr:row>
      <xdr:rowOff>76200</xdr:rowOff>
    </xdr:from>
    <xdr:to>
      <xdr:col>6</xdr:col>
      <xdr:colOff>447675</xdr:colOff>
      <xdr:row>21</xdr:row>
      <xdr:rowOff>0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4038600" y="2933700"/>
          <a:ext cx="66675" cy="1066800"/>
        </a:xfrm>
        <a:prstGeom prst="rect">
          <a:avLst/>
        </a:prstGeom>
        <a:solidFill>
          <a:srgbClr val="CBA258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6</xdr:col>
      <xdr:colOff>571500</xdr:colOff>
      <xdr:row>15</xdr:row>
      <xdr:rowOff>152400</xdr:rowOff>
    </xdr:from>
    <xdr:to>
      <xdr:col>12</xdr:col>
      <xdr:colOff>171450</xdr:colOff>
      <xdr:row>17</xdr:row>
      <xdr:rowOff>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4229100" y="3009900"/>
          <a:ext cx="325755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 b="0" i="0">
              <a:solidFill>
                <a:srgbClr val="6B7A74"/>
              </a:solidFill>
              <a:latin typeface="Segoe UI"/>
              <a:cs typeface="Segoe UI"/>
            </a:rPr>
            <a:t>GDP per capita</a:t>
          </a:r>
        </a:p>
      </xdr:txBody>
    </xdr:sp>
    <xdr:clientData/>
  </xdr:twoCellAnchor>
  <xdr:twoCellAnchor editAs="absolute">
    <xdr:from>
      <xdr:col>6</xdr:col>
      <xdr:colOff>571500</xdr:colOff>
      <xdr:row>16</xdr:row>
      <xdr:rowOff>171450</xdr:rowOff>
    </xdr:from>
    <xdr:to>
      <xdr:col>12</xdr:col>
      <xdr:colOff>171450</xdr:colOff>
      <xdr:row>19</xdr:row>
      <xdr:rowOff>57150</xdr:rowOff>
    </xdr:to>
    <xdr:sp macro="" textlink="_calc!$B$7">
      <xdr:nvSpPr>
        <xdr:cNvPr id="42" name="Text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4229100" y="3219450"/>
          <a:ext cx="3257550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fld id="{B8ADDEFE-BF52-4FD4-8C5D-6B85EF6FF707}" type="TxLink">
            <a:rPr lang="en-US" sz="2600" b="1" i="0">
              <a:solidFill>
                <a:srgbClr val="1E3932"/>
              </a:solidFill>
              <a:latin typeface="Segoe UI"/>
              <a:cs typeface="Segoe UI"/>
            </a:rPr>
            <a:pPr/>
            <a:t>US$1,536</a:t>
          </a:fld>
          <a:endParaRPr lang="en-US" sz="2600" b="1" i="0">
            <a:solidFill>
              <a:srgbClr val="1E3932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6</xdr:col>
      <xdr:colOff>571500</xdr:colOff>
      <xdr:row>19</xdr:row>
      <xdr:rowOff>76200</xdr:rowOff>
    </xdr:from>
    <xdr:to>
      <xdr:col>12</xdr:col>
      <xdr:colOff>171450</xdr:colOff>
      <xdr:row>20</xdr:row>
      <xdr:rowOff>114300</xdr:rowOff>
    </xdr:to>
    <xdr:sp macro="" textlink="_calc!$B$8">
      <xdr:nvSpPr>
        <xdr:cNvPr id="43" name="TextBox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4229100" y="3695700"/>
          <a:ext cx="325755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fld id="{B8ADDEFE-BF52-4FD4-8C5D-6B85EF6FF707}" type="TxLink">
            <a:rPr lang="en-US" sz="900" b="0" i="0">
              <a:solidFill>
                <a:srgbClr val="6B7A74"/>
              </a:solidFill>
              <a:latin typeface="Segoe UI"/>
              <a:cs typeface="Segoe UI"/>
            </a:rPr>
            <a:pPr/>
            <a:t>Beverage ≈ 0.23% of GDP p.c.</a:t>
          </a:fld>
          <a:endParaRPr lang="en-US" sz="900" b="0" i="0">
            <a:solidFill>
              <a:srgbClr val="6B7A74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12</xdr:col>
      <xdr:colOff>419100</xdr:colOff>
      <xdr:row>15</xdr:row>
      <xdr:rowOff>76200</xdr:rowOff>
    </xdr:from>
    <xdr:to>
      <xdr:col>18</xdr:col>
      <xdr:colOff>304800</xdr:colOff>
      <xdr:row>21</xdr:row>
      <xdr:rowOff>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7734300" y="2933700"/>
          <a:ext cx="3543300" cy="1066800"/>
        </a:xfrm>
        <a:prstGeom prst="rect">
          <a:avLst/>
        </a:prstGeom>
        <a:solidFill>
          <a:srgbClr val="FFFFFF"/>
        </a:solidFill>
        <a:ln w="9525" cmpd="sng">
          <a:solidFill>
            <a:srgbClr val="E3DED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12</xdr:col>
      <xdr:colOff>419100</xdr:colOff>
      <xdr:row>15</xdr:row>
      <xdr:rowOff>76200</xdr:rowOff>
    </xdr:from>
    <xdr:to>
      <xdr:col>12</xdr:col>
      <xdr:colOff>485775</xdr:colOff>
      <xdr:row>21</xdr:row>
      <xdr:rowOff>0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7734300" y="2933700"/>
          <a:ext cx="66675" cy="1066800"/>
        </a:xfrm>
        <a:prstGeom prst="rect">
          <a:avLst/>
        </a:prstGeom>
        <a:solidFill>
          <a:srgbClr val="CBA258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13</xdr:col>
      <xdr:colOff>0</xdr:colOff>
      <xdr:row>15</xdr:row>
      <xdr:rowOff>152400</xdr:rowOff>
    </xdr:from>
    <xdr:to>
      <xdr:col>18</xdr:col>
      <xdr:colOff>209550</xdr:colOff>
      <xdr:row>17</xdr:row>
      <xdr:rowOff>0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7924800" y="3009900"/>
          <a:ext cx="325755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 b="0" i="0">
              <a:solidFill>
                <a:srgbClr val="6B7A74"/>
              </a:solidFill>
              <a:latin typeface="Segoe UI"/>
              <a:cs typeface="Segoe UI"/>
            </a:rPr>
            <a:t>GDP growth 2025</a:t>
          </a:r>
        </a:p>
      </xdr:txBody>
    </xdr:sp>
    <xdr:clientData/>
  </xdr:twoCellAnchor>
  <xdr:twoCellAnchor editAs="absolute">
    <xdr:from>
      <xdr:col>13</xdr:col>
      <xdr:colOff>0</xdr:colOff>
      <xdr:row>16</xdr:row>
      <xdr:rowOff>171450</xdr:rowOff>
    </xdr:from>
    <xdr:to>
      <xdr:col>18</xdr:col>
      <xdr:colOff>209550</xdr:colOff>
      <xdr:row>19</xdr:row>
      <xdr:rowOff>57150</xdr:rowOff>
    </xdr:to>
    <xdr:sp macro="" textlink="_calc!$B$9">
      <xdr:nvSpPr>
        <xdr:cNvPr id="47" name="TextBox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7924800" y="3219450"/>
          <a:ext cx="3257550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fld id="{B8ADDEFE-BF52-4FD4-8C5D-6B85EF6FF707}" type="TxLink">
            <a:rPr lang="en-US" sz="2600" b="1" i="0">
              <a:solidFill>
                <a:srgbClr val="1E3932"/>
              </a:solidFill>
              <a:latin typeface="Segoe UI"/>
              <a:cs typeface="Segoe UI"/>
            </a:rPr>
            <a:pPr/>
            <a:t>4.4%</a:t>
          </a:fld>
          <a:endParaRPr lang="en-US" sz="2600" b="1" i="0">
            <a:solidFill>
              <a:srgbClr val="1E3932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13</xdr:col>
      <xdr:colOff>0</xdr:colOff>
      <xdr:row>19</xdr:row>
      <xdr:rowOff>76200</xdr:rowOff>
    </xdr:from>
    <xdr:to>
      <xdr:col>18</xdr:col>
      <xdr:colOff>209550</xdr:colOff>
      <xdr:row>20</xdr:row>
      <xdr:rowOff>114300</xdr:rowOff>
    </xdr:to>
    <xdr:sp macro="" textlink="_calc!$B$10">
      <xdr:nvSpPr>
        <xdr:cNvPr id="48" name="TextBox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7924800" y="3695700"/>
          <a:ext cx="325755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fld id="{B8ADDEFE-BF52-4FD4-8C5D-6B85EF6FF707}" type="TxLink">
            <a:rPr lang="en-US" sz="900" b="0" i="0">
              <a:solidFill>
                <a:srgbClr val="6B7A74"/>
              </a:solidFill>
              <a:latin typeface="Segoe UI"/>
              <a:cs typeface="Segoe UI"/>
            </a:rPr>
            <a:pPr/>
            <a:t>FY2026 projection 2.3%</a:t>
          </a:fld>
          <a:endParaRPr lang="en-US" sz="900" b="0" i="0">
            <a:solidFill>
              <a:srgbClr val="6B7A74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18</xdr:col>
      <xdr:colOff>457200</xdr:colOff>
      <xdr:row>15</xdr:row>
      <xdr:rowOff>76200</xdr:rowOff>
    </xdr:from>
    <xdr:to>
      <xdr:col>24</xdr:col>
      <xdr:colOff>342900</xdr:colOff>
      <xdr:row>21</xdr:row>
      <xdr:rowOff>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11430000" y="2933700"/>
          <a:ext cx="3543300" cy="1066800"/>
        </a:xfrm>
        <a:prstGeom prst="rect">
          <a:avLst/>
        </a:prstGeom>
        <a:solidFill>
          <a:srgbClr val="FFFFFF"/>
        </a:solidFill>
        <a:ln w="9525" cmpd="sng">
          <a:solidFill>
            <a:srgbClr val="E3DED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18</xdr:col>
      <xdr:colOff>457200</xdr:colOff>
      <xdr:row>15</xdr:row>
      <xdr:rowOff>76200</xdr:rowOff>
    </xdr:from>
    <xdr:to>
      <xdr:col>18</xdr:col>
      <xdr:colOff>523875</xdr:colOff>
      <xdr:row>21</xdr:row>
      <xdr:rowOff>0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11430000" y="2933700"/>
          <a:ext cx="66675" cy="1066800"/>
        </a:xfrm>
        <a:prstGeom prst="rect">
          <a:avLst/>
        </a:prstGeom>
        <a:solidFill>
          <a:srgbClr val="CBA258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19</xdr:col>
      <xdr:colOff>38100</xdr:colOff>
      <xdr:row>15</xdr:row>
      <xdr:rowOff>152400</xdr:rowOff>
    </xdr:from>
    <xdr:to>
      <xdr:col>24</xdr:col>
      <xdr:colOff>247650</xdr:colOff>
      <xdr:row>17</xdr:row>
      <xdr:rowOff>0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11620500" y="3009900"/>
          <a:ext cx="325755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 b="0" i="0">
              <a:solidFill>
                <a:srgbClr val="6B7A74"/>
              </a:solidFill>
              <a:latin typeface="Segoe UI"/>
              <a:cs typeface="Segoe UI"/>
            </a:rPr>
            <a:t>Coffee supply gap</a:t>
          </a:r>
        </a:p>
      </xdr:txBody>
    </xdr:sp>
    <xdr:clientData/>
  </xdr:twoCellAnchor>
  <xdr:twoCellAnchor editAs="absolute">
    <xdr:from>
      <xdr:col>19</xdr:col>
      <xdr:colOff>38100</xdr:colOff>
      <xdr:row>16</xdr:row>
      <xdr:rowOff>171450</xdr:rowOff>
    </xdr:from>
    <xdr:to>
      <xdr:col>24</xdr:col>
      <xdr:colOff>247650</xdr:colOff>
      <xdr:row>19</xdr:row>
      <xdr:rowOff>57150</xdr:rowOff>
    </xdr:to>
    <xdr:sp macro="" textlink="_calc!$B$11">
      <xdr:nvSpPr>
        <xdr:cNvPr id="52" name="TextBox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11620500" y="3219450"/>
          <a:ext cx="3257550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fld id="{B8ADDEFE-BF52-4FD4-8C5D-6B85EF6FF707}" type="TxLink">
            <a:rPr lang="en-US" sz="2600" b="1" i="0">
              <a:solidFill>
                <a:srgbClr val="1E3932"/>
              </a:solidFill>
              <a:latin typeface="Segoe UI"/>
              <a:cs typeface="Segoe UI"/>
            </a:rPr>
            <a:pPr/>
            <a:t>1,214 t</a:t>
          </a:fld>
          <a:endParaRPr lang="en-US" sz="2600" b="1" i="0">
            <a:solidFill>
              <a:srgbClr val="1E3932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19</xdr:col>
      <xdr:colOff>38100</xdr:colOff>
      <xdr:row>19</xdr:row>
      <xdr:rowOff>76200</xdr:rowOff>
    </xdr:from>
    <xdr:to>
      <xdr:col>24</xdr:col>
      <xdr:colOff>247650</xdr:colOff>
      <xdr:row>20</xdr:row>
      <xdr:rowOff>114300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11620500" y="3695700"/>
          <a:ext cx="325755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900" b="0" i="0">
              <a:solidFill>
                <a:srgbClr val="6B7A74"/>
              </a:solidFill>
              <a:latin typeface="Segoe UI"/>
              <a:cs typeface="Segoe UI"/>
            </a:rPr>
            <a:t>Approx</a:t>
          </a:r>
        </a:p>
      </xdr:txBody>
    </xdr:sp>
    <xdr:clientData/>
  </xdr:twoCellAnchor>
  <xdr:twoCellAnchor editAs="absolute">
    <xdr:from>
      <xdr:col>0</xdr:col>
      <xdr:colOff>342900</xdr:colOff>
      <xdr:row>21</xdr:row>
      <xdr:rowOff>152400</xdr:rowOff>
    </xdr:from>
    <xdr:to>
      <xdr:col>8</xdr:col>
      <xdr:colOff>419100</xdr:colOff>
      <xdr:row>40</xdr:row>
      <xdr:rowOff>114300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342900" y="4152900"/>
          <a:ext cx="4953000" cy="3581400"/>
        </a:xfrm>
        <a:prstGeom prst="rect">
          <a:avLst/>
        </a:prstGeom>
        <a:gradFill>
          <a:gsLst>
            <a:gs pos="0">
              <a:srgbClr val="00704A"/>
            </a:gs>
            <a:gs pos="100000">
              <a:srgbClr val="1E3932"/>
            </a:gs>
          </a:gsLst>
          <a:lin ang="1200000" scaled="0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0</xdr:col>
      <xdr:colOff>571500</xdr:colOff>
      <xdr:row>22</xdr:row>
      <xdr:rowOff>171450</xdr:rowOff>
    </xdr:from>
    <xdr:to>
      <xdr:col>8</xdr:col>
      <xdr:colOff>171450</xdr:colOff>
      <xdr:row>24</xdr:row>
      <xdr:rowOff>38100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571500" y="4362450"/>
          <a:ext cx="44767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 i="0">
              <a:solidFill>
                <a:srgbClr val="CBA258"/>
              </a:solidFill>
              <a:latin typeface="Segoe UI"/>
              <a:cs typeface="Segoe UI"/>
            </a:rPr>
            <a:t>RECOMMENDED ENTRY MODE</a:t>
          </a:r>
        </a:p>
      </xdr:txBody>
    </xdr:sp>
    <xdr:clientData/>
  </xdr:twoCellAnchor>
  <xdr:twoCellAnchor editAs="absolute">
    <xdr:from>
      <xdr:col>0</xdr:col>
      <xdr:colOff>571500</xdr:colOff>
      <xdr:row>24</xdr:row>
      <xdr:rowOff>114300</xdr:rowOff>
    </xdr:from>
    <xdr:to>
      <xdr:col>8</xdr:col>
      <xdr:colOff>171450</xdr:colOff>
      <xdr:row>27</xdr:row>
      <xdr:rowOff>76200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571500" y="4686300"/>
          <a:ext cx="4476750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3000" b="1" i="0">
              <a:solidFill>
                <a:srgbClr val="FFFFFF"/>
              </a:solidFill>
              <a:latin typeface="Segoe UI"/>
              <a:cs typeface="Segoe UI"/>
            </a:rPr>
            <a:t>Joint Venture</a:t>
          </a:r>
        </a:p>
      </xdr:txBody>
    </xdr:sp>
    <xdr:clientData/>
  </xdr:twoCellAnchor>
  <xdr:twoCellAnchor editAs="absolute">
    <xdr:from>
      <xdr:col>0</xdr:col>
      <xdr:colOff>571500</xdr:colOff>
      <xdr:row>27</xdr:row>
      <xdr:rowOff>114300</xdr:rowOff>
    </xdr:from>
    <xdr:to>
      <xdr:col>8</xdr:col>
      <xdr:colOff>171450</xdr:colOff>
      <xdr:row>28</xdr:row>
      <xdr:rowOff>171450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571500" y="5257800"/>
          <a:ext cx="44767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 b="0" i="0">
              <a:solidFill>
                <a:srgbClr val="CFE3DA"/>
              </a:solidFill>
              <a:latin typeface="Segoe UI"/>
              <a:cs typeface="Segoe UI"/>
            </a:rPr>
            <a:t>Mirrors the Boyu model (60/40) used in China</a:t>
          </a:r>
        </a:p>
      </xdr:txBody>
    </xdr:sp>
    <xdr:clientData/>
  </xdr:twoCellAnchor>
  <xdr:twoCellAnchor editAs="absolute">
    <xdr:from>
      <xdr:col>0</xdr:col>
      <xdr:colOff>571500</xdr:colOff>
      <xdr:row>30</xdr:row>
      <xdr:rowOff>0</xdr:rowOff>
    </xdr:from>
    <xdr:to>
      <xdr:col>8</xdr:col>
      <xdr:colOff>171450</xdr:colOff>
      <xdr:row>31</xdr:row>
      <xdr:rowOff>95250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571500" y="5715000"/>
          <a:ext cx="447675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0" i="0">
              <a:solidFill>
                <a:srgbClr val="E6F0EB"/>
              </a:solidFill>
              <a:latin typeface="Segoe UI"/>
              <a:cs typeface="Segoe UI"/>
            </a:rPr>
            <a:t>•  High capability transfer, high local knowledge</a:t>
          </a:r>
        </a:p>
      </xdr:txBody>
    </xdr:sp>
    <xdr:clientData/>
  </xdr:twoCellAnchor>
  <xdr:twoCellAnchor editAs="absolute">
    <xdr:from>
      <xdr:col>0</xdr:col>
      <xdr:colOff>571500</xdr:colOff>
      <xdr:row>31</xdr:row>
      <xdr:rowOff>133350</xdr:rowOff>
    </xdr:from>
    <xdr:to>
      <xdr:col>8</xdr:col>
      <xdr:colOff>171450</xdr:colOff>
      <xdr:row>33</xdr:row>
      <xdr:rowOff>38100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/>
      </xdr:nvSpPr>
      <xdr:spPr>
        <a:xfrm>
          <a:off x="571500" y="6038850"/>
          <a:ext cx="447675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0" i="0">
              <a:solidFill>
                <a:srgbClr val="E6F0EB"/>
              </a:solidFill>
              <a:latin typeface="Segoe UI"/>
              <a:cs typeface="Segoe UI"/>
            </a:rPr>
            <a:t>•  Shared risk, medium capital exposure</a:t>
          </a:r>
        </a:p>
      </xdr:txBody>
    </xdr:sp>
    <xdr:clientData/>
  </xdr:twoCellAnchor>
  <xdr:twoCellAnchor editAs="absolute">
    <xdr:from>
      <xdr:col>0</xdr:col>
      <xdr:colOff>571500</xdr:colOff>
      <xdr:row>33</xdr:row>
      <xdr:rowOff>76200</xdr:rowOff>
    </xdr:from>
    <xdr:to>
      <xdr:col>8</xdr:col>
      <xdr:colOff>171450</xdr:colOff>
      <xdr:row>34</xdr:row>
      <xdr:rowOff>171450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571500" y="6362700"/>
          <a:ext cx="447675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0" i="0">
              <a:solidFill>
                <a:srgbClr val="E6F0EB"/>
              </a:solidFill>
              <a:latin typeface="Segoe UI"/>
              <a:cs typeface="Segoe UI"/>
            </a:rPr>
            <a:t>•  FITTA 2019 restricts foreign retail equity</a:t>
          </a:r>
        </a:p>
      </xdr:txBody>
    </xdr:sp>
    <xdr:clientData/>
  </xdr:twoCellAnchor>
  <xdr:twoCellAnchor editAs="absolute">
    <xdr:from>
      <xdr:col>0</xdr:col>
      <xdr:colOff>571500</xdr:colOff>
      <xdr:row>35</xdr:row>
      <xdr:rowOff>19050</xdr:rowOff>
    </xdr:from>
    <xdr:to>
      <xdr:col>8</xdr:col>
      <xdr:colOff>171450</xdr:colOff>
      <xdr:row>36</xdr:row>
      <xdr:rowOff>114300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571500" y="6686550"/>
          <a:ext cx="447675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0" i="0">
              <a:solidFill>
                <a:srgbClr val="E6F0EB"/>
              </a:solidFill>
              <a:latin typeface="Segoe UI"/>
              <a:cs typeface="Segoe UI"/>
            </a:rPr>
            <a:t>•  Fallback: franchise for speed</a:t>
          </a:r>
        </a:p>
      </xdr:txBody>
    </xdr:sp>
    <xdr:clientData/>
  </xdr:twoCellAnchor>
  <xdr:twoCellAnchor editAs="absolute">
    <xdr:from>
      <xdr:col>0</xdr:col>
      <xdr:colOff>571500</xdr:colOff>
      <xdr:row>37</xdr:row>
      <xdr:rowOff>171450</xdr:rowOff>
    </xdr:from>
    <xdr:to>
      <xdr:col>8</xdr:col>
      <xdr:colOff>171450</xdr:colOff>
      <xdr:row>39</xdr:row>
      <xdr:rowOff>57150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571500" y="7219950"/>
          <a:ext cx="44767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 b="1" i="0">
              <a:solidFill>
                <a:srgbClr val="CBA258"/>
              </a:solidFill>
              <a:latin typeface="Segoe UI"/>
              <a:cs typeface="Segoe UI"/>
            </a:rPr>
            <a:t>Verdict: balances control and local knowledge</a:t>
          </a:r>
        </a:p>
      </xdr:txBody>
    </xdr:sp>
    <xdr:clientData/>
  </xdr:twoCellAnchor>
  <xdr:twoCellAnchor editAs="absolute">
    <xdr:from>
      <xdr:col>9</xdr:col>
      <xdr:colOff>133350</xdr:colOff>
      <xdr:row>38</xdr:row>
      <xdr:rowOff>114300</xdr:rowOff>
    </xdr:from>
    <xdr:to>
      <xdr:col>16</xdr:col>
      <xdr:colOff>247650</xdr:colOff>
      <xdr:row>40</xdr:row>
      <xdr:rowOff>38100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5619750" y="7353300"/>
          <a:ext cx="438150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0" i="0">
              <a:solidFill>
                <a:srgbClr val="6B7A74"/>
              </a:solidFill>
              <a:latin typeface="Segoe UI"/>
              <a:cs typeface="Segoe UI"/>
            </a:rPr>
            <a:t>Imports 1,200–1,400 t (light segment = upper estimate) · Lamichhane and Malla (2025)</a:t>
          </a:r>
        </a:p>
      </xdr:txBody>
    </xdr:sp>
    <xdr:clientData/>
  </xdr:twoCellAnchor>
  <xdr:twoCellAnchor editAs="absolute">
    <xdr:from>
      <xdr:col>17</xdr:col>
      <xdr:colOff>114300</xdr:colOff>
      <xdr:row>39</xdr:row>
      <xdr:rowOff>2989</xdr:rowOff>
    </xdr:from>
    <xdr:to>
      <xdr:col>24</xdr:col>
      <xdr:colOff>133350</xdr:colOff>
      <xdr:row>40</xdr:row>
      <xdr:rowOff>57150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10477500" y="7429500"/>
          <a:ext cx="42862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0" i="0">
              <a:solidFill>
                <a:srgbClr val="6B7A74"/>
              </a:solidFill>
              <a:latin typeface="Segoe UI"/>
              <a:cs typeface="Segoe UI"/>
            </a:rPr>
            <a:t>Long-term orientation and indulgence: no published Nepal score (excluded)</a:t>
          </a:r>
        </a:p>
      </xdr:txBody>
    </xdr:sp>
    <xdr:clientData/>
  </xdr:twoCellAnchor>
  <xdr:twoCellAnchor editAs="absolute">
    <xdr:from>
      <xdr:col>8</xdr:col>
      <xdr:colOff>190500</xdr:colOff>
      <xdr:row>41</xdr:row>
      <xdr:rowOff>76200</xdr:rowOff>
    </xdr:from>
    <xdr:to>
      <xdr:col>17</xdr:col>
      <xdr:colOff>38100</xdr:colOff>
      <xdr:row>56</xdr:row>
      <xdr:rowOff>76200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5067300" y="7886700"/>
          <a:ext cx="5334000" cy="2857500"/>
        </a:xfrm>
        <a:prstGeom prst="rect">
          <a:avLst/>
        </a:prstGeom>
        <a:solidFill>
          <a:srgbClr val="FFFFFF"/>
        </a:solidFill>
        <a:ln w="9525" cmpd="sng">
          <a:solidFill>
            <a:srgbClr val="E3DED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8</xdr:col>
      <xdr:colOff>381000</xdr:colOff>
      <xdr:row>42</xdr:row>
      <xdr:rowOff>19050</xdr:rowOff>
    </xdr:from>
    <xdr:to>
      <xdr:col>16</xdr:col>
      <xdr:colOff>457200</xdr:colOff>
      <xdr:row>43</xdr:row>
      <xdr:rowOff>57150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5257800" y="8020050"/>
          <a:ext cx="495300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 i="0">
              <a:solidFill>
                <a:srgbClr val="1E3932"/>
              </a:solidFill>
              <a:latin typeface="Segoe UI"/>
              <a:cs typeface="Segoe UI"/>
            </a:rPr>
            <a:t>Which Starbucks resources transfer to Nepal? (VRIN)</a:t>
          </a:r>
        </a:p>
      </xdr:txBody>
    </xdr:sp>
    <xdr:clientData/>
  </xdr:twoCellAnchor>
  <xdr:twoCellAnchor editAs="absolute">
    <xdr:from>
      <xdr:col>8</xdr:col>
      <xdr:colOff>381000</xdr:colOff>
      <xdr:row>43</xdr:row>
      <xdr:rowOff>76200</xdr:rowOff>
    </xdr:from>
    <xdr:to>
      <xdr:col>16</xdr:col>
      <xdr:colOff>457200</xdr:colOff>
      <xdr:row>44</xdr:row>
      <xdr:rowOff>76200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/>
      </xdr:nvSpPr>
      <xdr:spPr>
        <a:xfrm>
          <a:off x="5257800" y="8267700"/>
          <a:ext cx="49530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800" b="0" i="0">
              <a:solidFill>
                <a:srgbClr val="6B7A74"/>
              </a:solidFill>
              <a:latin typeface="Segoe UI"/>
              <a:cs typeface="Segoe UI"/>
            </a:rPr>
            <a:t>Barney (1991) · </a:t>
          </a:r>
        </a:p>
      </xdr:txBody>
    </xdr:sp>
    <xdr:clientData/>
  </xdr:twoCellAnchor>
  <xdr:twoCellAnchor editAs="absolute">
    <xdr:from>
      <xdr:col>8</xdr:col>
      <xdr:colOff>342900</xdr:colOff>
      <xdr:row>44</xdr:row>
      <xdr:rowOff>133350</xdr:rowOff>
    </xdr:from>
    <xdr:to>
      <xdr:col>11</xdr:col>
      <xdr:colOff>295275</xdr:colOff>
      <xdr:row>46</xdr:row>
      <xdr:rowOff>9525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5219700" y="8515350"/>
          <a:ext cx="178117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6B7A74"/>
              </a:solidFill>
              <a:latin typeface="Segoe UI"/>
              <a:cs typeface="Segoe UI"/>
            </a:rPr>
            <a:t>Resource</a:t>
          </a:r>
        </a:p>
      </xdr:txBody>
    </xdr:sp>
    <xdr:clientData/>
  </xdr:twoCellAnchor>
  <xdr:twoCellAnchor editAs="absolute">
    <xdr:from>
      <xdr:col>11</xdr:col>
      <xdr:colOff>323850</xdr:colOff>
      <xdr:row>44</xdr:row>
      <xdr:rowOff>133350</xdr:rowOff>
    </xdr:from>
    <xdr:to>
      <xdr:col>12</xdr:col>
      <xdr:colOff>123825</xdr:colOff>
      <xdr:row>46</xdr:row>
      <xdr:rowOff>9525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7029450" y="8515350"/>
          <a:ext cx="40957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6B7A74"/>
              </a:solidFill>
              <a:latin typeface="Segoe UI"/>
              <a:cs typeface="Segoe UI"/>
            </a:rPr>
            <a:t>V</a:t>
          </a:r>
        </a:p>
      </xdr:txBody>
    </xdr:sp>
    <xdr:clientData/>
  </xdr:twoCellAnchor>
  <xdr:twoCellAnchor editAs="absolute">
    <xdr:from>
      <xdr:col>12</xdr:col>
      <xdr:colOff>152400</xdr:colOff>
      <xdr:row>44</xdr:row>
      <xdr:rowOff>133350</xdr:rowOff>
    </xdr:from>
    <xdr:to>
      <xdr:col>12</xdr:col>
      <xdr:colOff>561975</xdr:colOff>
      <xdr:row>46</xdr:row>
      <xdr:rowOff>9525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7467600" y="8515350"/>
          <a:ext cx="40957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6B7A74"/>
              </a:solidFill>
              <a:latin typeface="Segoe UI"/>
              <a:cs typeface="Segoe UI"/>
            </a:rPr>
            <a:t>R</a:t>
          </a:r>
        </a:p>
      </xdr:txBody>
    </xdr:sp>
    <xdr:clientData/>
  </xdr:twoCellAnchor>
  <xdr:twoCellAnchor editAs="absolute">
    <xdr:from>
      <xdr:col>12</xdr:col>
      <xdr:colOff>590550</xdr:colOff>
      <xdr:row>44</xdr:row>
      <xdr:rowOff>133350</xdr:rowOff>
    </xdr:from>
    <xdr:to>
      <xdr:col>13</xdr:col>
      <xdr:colOff>390525</xdr:colOff>
      <xdr:row>46</xdr:row>
      <xdr:rowOff>9525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7905750" y="8515350"/>
          <a:ext cx="40957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6B7A74"/>
              </a:solidFill>
              <a:latin typeface="Segoe UI"/>
              <a:cs typeface="Segoe UI"/>
            </a:rPr>
            <a:t>I</a:t>
          </a:r>
        </a:p>
      </xdr:txBody>
    </xdr:sp>
    <xdr:clientData/>
  </xdr:twoCellAnchor>
  <xdr:twoCellAnchor editAs="absolute">
    <xdr:from>
      <xdr:col>13</xdr:col>
      <xdr:colOff>419100</xdr:colOff>
      <xdr:row>44</xdr:row>
      <xdr:rowOff>133350</xdr:rowOff>
    </xdr:from>
    <xdr:to>
      <xdr:col>14</xdr:col>
      <xdr:colOff>219075</xdr:colOff>
      <xdr:row>46</xdr:row>
      <xdr:rowOff>9525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8343900" y="8515350"/>
          <a:ext cx="40957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6B7A74"/>
              </a:solidFill>
              <a:latin typeface="Segoe UI"/>
              <a:cs typeface="Segoe UI"/>
            </a:rPr>
            <a:t>N</a:t>
          </a:r>
        </a:p>
      </xdr:txBody>
    </xdr:sp>
    <xdr:clientData/>
  </xdr:twoCellAnchor>
  <xdr:twoCellAnchor editAs="absolute">
    <xdr:from>
      <xdr:col>14</xdr:col>
      <xdr:colOff>247650</xdr:colOff>
      <xdr:row>44</xdr:row>
      <xdr:rowOff>133350</xdr:rowOff>
    </xdr:from>
    <xdr:to>
      <xdr:col>15</xdr:col>
      <xdr:colOff>466725</xdr:colOff>
      <xdr:row>46</xdr:row>
      <xdr:rowOff>9525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8782050" y="8515350"/>
          <a:ext cx="82867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6B7A74"/>
              </a:solidFill>
              <a:latin typeface="Segoe UI"/>
              <a:cs typeface="Segoe UI"/>
            </a:rPr>
            <a:t>Transfers?</a:t>
          </a:r>
        </a:p>
      </xdr:txBody>
    </xdr:sp>
    <xdr:clientData/>
  </xdr:twoCellAnchor>
  <xdr:twoCellAnchor editAs="absolute">
    <xdr:from>
      <xdr:col>8</xdr:col>
      <xdr:colOff>342900</xdr:colOff>
      <xdr:row>46</xdr:row>
      <xdr:rowOff>38100</xdr:rowOff>
    </xdr:from>
    <xdr:to>
      <xdr:col>11</xdr:col>
      <xdr:colOff>295275</xdr:colOff>
      <xdr:row>47</xdr:row>
      <xdr:rowOff>104775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5219700" y="8801100"/>
          <a:ext cx="178117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1" i="0">
              <a:solidFill>
                <a:srgbClr val="1E2A26"/>
              </a:solidFill>
              <a:latin typeface="Segoe UI"/>
              <a:cs typeface="Segoe UI"/>
            </a:rPr>
            <a:t>Brand and 'third place'</a:t>
          </a:r>
        </a:p>
      </xdr:txBody>
    </xdr:sp>
    <xdr:clientData/>
  </xdr:twoCellAnchor>
  <xdr:twoCellAnchor editAs="absolute">
    <xdr:from>
      <xdr:col>11</xdr:col>
      <xdr:colOff>323850</xdr:colOff>
      <xdr:row>46</xdr:row>
      <xdr:rowOff>38100</xdr:rowOff>
    </xdr:from>
    <xdr:to>
      <xdr:col>12</xdr:col>
      <xdr:colOff>123825</xdr:colOff>
      <xdr:row>47</xdr:row>
      <xdr:rowOff>104775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7029450" y="8801100"/>
          <a:ext cx="409575" cy="25717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0B5A3C"/>
              </a:solidFill>
              <a:latin typeface="Segoe UI"/>
              <a:cs typeface="Segoe UI"/>
            </a:rPr>
            <a:t>✓</a:t>
          </a:r>
        </a:p>
      </xdr:txBody>
    </xdr:sp>
    <xdr:clientData/>
  </xdr:twoCellAnchor>
  <xdr:twoCellAnchor editAs="absolute">
    <xdr:from>
      <xdr:col>12</xdr:col>
      <xdr:colOff>152400</xdr:colOff>
      <xdr:row>46</xdr:row>
      <xdr:rowOff>38100</xdr:rowOff>
    </xdr:from>
    <xdr:to>
      <xdr:col>12</xdr:col>
      <xdr:colOff>561975</xdr:colOff>
      <xdr:row>47</xdr:row>
      <xdr:rowOff>104775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 txBox="1"/>
      </xdr:nvSpPr>
      <xdr:spPr>
        <a:xfrm>
          <a:off x="7467600" y="8801100"/>
          <a:ext cx="409575" cy="25717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0B5A3C"/>
              </a:solidFill>
              <a:latin typeface="Segoe UI"/>
              <a:cs typeface="Segoe UI"/>
            </a:rPr>
            <a:t>✓</a:t>
          </a:r>
        </a:p>
      </xdr:txBody>
    </xdr:sp>
    <xdr:clientData/>
  </xdr:twoCellAnchor>
  <xdr:twoCellAnchor editAs="absolute">
    <xdr:from>
      <xdr:col>12</xdr:col>
      <xdr:colOff>590550</xdr:colOff>
      <xdr:row>46</xdr:row>
      <xdr:rowOff>38100</xdr:rowOff>
    </xdr:from>
    <xdr:to>
      <xdr:col>13</xdr:col>
      <xdr:colOff>390525</xdr:colOff>
      <xdr:row>47</xdr:row>
      <xdr:rowOff>104775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/>
      </xdr:nvSpPr>
      <xdr:spPr>
        <a:xfrm>
          <a:off x="7905750" y="8801100"/>
          <a:ext cx="409575" cy="25717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0B5A3C"/>
              </a:solidFill>
              <a:latin typeface="Segoe UI"/>
              <a:cs typeface="Segoe UI"/>
            </a:rPr>
            <a:t>✓</a:t>
          </a:r>
        </a:p>
      </xdr:txBody>
    </xdr:sp>
    <xdr:clientData/>
  </xdr:twoCellAnchor>
  <xdr:twoCellAnchor editAs="absolute">
    <xdr:from>
      <xdr:col>13</xdr:col>
      <xdr:colOff>419100</xdr:colOff>
      <xdr:row>46</xdr:row>
      <xdr:rowOff>38100</xdr:rowOff>
    </xdr:from>
    <xdr:to>
      <xdr:col>14</xdr:col>
      <xdr:colOff>219075</xdr:colOff>
      <xdr:row>47</xdr:row>
      <xdr:rowOff>104775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/>
      </xdr:nvSpPr>
      <xdr:spPr>
        <a:xfrm>
          <a:off x="8343900" y="8801100"/>
          <a:ext cx="409575" cy="25717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0B5A3C"/>
              </a:solidFill>
              <a:latin typeface="Segoe UI"/>
              <a:cs typeface="Segoe UI"/>
            </a:rPr>
            <a:t>✓</a:t>
          </a:r>
        </a:p>
      </xdr:txBody>
    </xdr:sp>
    <xdr:clientData/>
  </xdr:twoCellAnchor>
  <xdr:twoCellAnchor editAs="absolute">
    <xdr:from>
      <xdr:col>14</xdr:col>
      <xdr:colOff>247650</xdr:colOff>
      <xdr:row>46</xdr:row>
      <xdr:rowOff>38100</xdr:rowOff>
    </xdr:from>
    <xdr:to>
      <xdr:col>15</xdr:col>
      <xdr:colOff>466725</xdr:colOff>
      <xdr:row>47</xdr:row>
      <xdr:rowOff>104775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/>
      </xdr:nvSpPr>
      <xdr:spPr>
        <a:xfrm>
          <a:off x="8782050" y="8801100"/>
          <a:ext cx="828675" cy="25717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0B5A3C"/>
              </a:solidFill>
              <a:latin typeface="Segoe UI"/>
              <a:cs typeface="Segoe UI"/>
            </a:rPr>
            <a:t>YES</a:t>
          </a:r>
        </a:p>
      </xdr:txBody>
    </xdr:sp>
    <xdr:clientData/>
  </xdr:twoCellAnchor>
  <xdr:twoCellAnchor editAs="absolute">
    <xdr:from>
      <xdr:col>8</xdr:col>
      <xdr:colOff>342900</xdr:colOff>
      <xdr:row>47</xdr:row>
      <xdr:rowOff>133350</xdr:rowOff>
    </xdr:from>
    <xdr:to>
      <xdr:col>11</xdr:col>
      <xdr:colOff>295275</xdr:colOff>
      <xdr:row>49</xdr:row>
      <xdr:rowOff>9525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5219700" y="9086850"/>
          <a:ext cx="178117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1" i="0">
              <a:solidFill>
                <a:srgbClr val="1E2A26"/>
              </a:solidFill>
              <a:latin typeface="Segoe UI"/>
              <a:cs typeface="Segoe UI"/>
            </a:rPr>
            <a:t>Partner capability</a:t>
          </a:r>
        </a:p>
      </xdr:txBody>
    </xdr:sp>
    <xdr:clientData/>
  </xdr:twoCellAnchor>
  <xdr:twoCellAnchor editAs="absolute">
    <xdr:from>
      <xdr:col>11</xdr:col>
      <xdr:colOff>323850</xdr:colOff>
      <xdr:row>47</xdr:row>
      <xdr:rowOff>133350</xdr:rowOff>
    </xdr:from>
    <xdr:to>
      <xdr:col>12</xdr:col>
      <xdr:colOff>123825</xdr:colOff>
      <xdr:row>49</xdr:row>
      <xdr:rowOff>9525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/>
      </xdr:nvSpPr>
      <xdr:spPr>
        <a:xfrm>
          <a:off x="7029450" y="9086850"/>
          <a:ext cx="409575" cy="25717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0B5A3C"/>
              </a:solidFill>
              <a:latin typeface="Segoe UI"/>
              <a:cs typeface="Segoe UI"/>
            </a:rPr>
            <a:t>✓</a:t>
          </a:r>
        </a:p>
      </xdr:txBody>
    </xdr:sp>
    <xdr:clientData/>
  </xdr:twoCellAnchor>
  <xdr:twoCellAnchor editAs="absolute">
    <xdr:from>
      <xdr:col>12</xdr:col>
      <xdr:colOff>152400</xdr:colOff>
      <xdr:row>47</xdr:row>
      <xdr:rowOff>133350</xdr:rowOff>
    </xdr:from>
    <xdr:to>
      <xdr:col>12</xdr:col>
      <xdr:colOff>561975</xdr:colOff>
      <xdr:row>49</xdr:row>
      <xdr:rowOff>9525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 txBox="1"/>
      </xdr:nvSpPr>
      <xdr:spPr>
        <a:xfrm>
          <a:off x="7467600" y="9086850"/>
          <a:ext cx="409575" cy="25717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0B5A3C"/>
              </a:solidFill>
              <a:latin typeface="Segoe UI"/>
              <a:cs typeface="Segoe UI"/>
            </a:rPr>
            <a:t>✓</a:t>
          </a:r>
        </a:p>
      </xdr:txBody>
    </xdr:sp>
    <xdr:clientData/>
  </xdr:twoCellAnchor>
  <xdr:twoCellAnchor editAs="absolute">
    <xdr:from>
      <xdr:col>12</xdr:col>
      <xdr:colOff>590550</xdr:colOff>
      <xdr:row>47</xdr:row>
      <xdr:rowOff>133350</xdr:rowOff>
    </xdr:from>
    <xdr:to>
      <xdr:col>13</xdr:col>
      <xdr:colOff>390525</xdr:colOff>
      <xdr:row>49</xdr:row>
      <xdr:rowOff>9525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 txBox="1"/>
      </xdr:nvSpPr>
      <xdr:spPr>
        <a:xfrm>
          <a:off x="7905750" y="9086850"/>
          <a:ext cx="409575" cy="25717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0B5A3C"/>
              </a:solidFill>
              <a:latin typeface="Segoe UI"/>
              <a:cs typeface="Segoe UI"/>
            </a:rPr>
            <a:t>✓</a:t>
          </a:r>
        </a:p>
      </xdr:txBody>
    </xdr:sp>
    <xdr:clientData/>
  </xdr:twoCellAnchor>
  <xdr:twoCellAnchor editAs="absolute">
    <xdr:from>
      <xdr:col>13</xdr:col>
      <xdr:colOff>419100</xdr:colOff>
      <xdr:row>47</xdr:row>
      <xdr:rowOff>133350</xdr:rowOff>
    </xdr:from>
    <xdr:to>
      <xdr:col>14</xdr:col>
      <xdr:colOff>219075</xdr:colOff>
      <xdr:row>49</xdr:row>
      <xdr:rowOff>9525</xdr:rowOff>
    </xdr:to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 txBox="1"/>
      </xdr:nvSpPr>
      <xdr:spPr>
        <a:xfrm>
          <a:off x="8343900" y="9086850"/>
          <a:ext cx="409575" cy="25717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0B5A3C"/>
              </a:solidFill>
              <a:latin typeface="Segoe UI"/>
              <a:cs typeface="Segoe UI"/>
            </a:rPr>
            <a:t>✓</a:t>
          </a:r>
        </a:p>
      </xdr:txBody>
    </xdr:sp>
    <xdr:clientData/>
  </xdr:twoCellAnchor>
  <xdr:twoCellAnchor editAs="absolute">
    <xdr:from>
      <xdr:col>14</xdr:col>
      <xdr:colOff>247650</xdr:colOff>
      <xdr:row>47</xdr:row>
      <xdr:rowOff>133350</xdr:rowOff>
    </xdr:from>
    <xdr:to>
      <xdr:col>15</xdr:col>
      <xdr:colOff>466725</xdr:colOff>
      <xdr:row>49</xdr:row>
      <xdr:rowOff>9525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 txBox="1"/>
      </xdr:nvSpPr>
      <xdr:spPr>
        <a:xfrm>
          <a:off x="8782050" y="9086850"/>
          <a:ext cx="828675" cy="25717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0B5A3C"/>
              </a:solidFill>
              <a:latin typeface="Segoe UI"/>
              <a:cs typeface="Segoe UI"/>
            </a:rPr>
            <a:t>YES</a:t>
          </a:r>
        </a:p>
      </xdr:txBody>
    </xdr:sp>
    <xdr:clientData/>
  </xdr:twoCellAnchor>
  <xdr:twoCellAnchor editAs="absolute">
    <xdr:from>
      <xdr:col>8</xdr:col>
      <xdr:colOff>342900</xdr:colOff>
      <xdr:row>49</xdr:row>
      <xdr:rowOff>38100</xdr:rowOff>
    </xdr:from>
    <xdr:to>
      <xdr:col>11</xdr:col>
      <xdr:colOff>295275</xdr:colOff>
      <xdr:row>50</xdr:row>
      <xdr:rowOff>104775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 txBox="1"/>
      </xdr:nvSpPr>
      <xdr:spPr>
        <a:xfrm>
          <a:off x="5219700" y="9372600"/>
          <a:ext cx="178117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1" i="0">
              <a:solidFill>
                <a:srgbClr val="1E2A26"/>
              </a:solidFill>
              <a:latin typeface="Segoe UI"/>
              <a:cs typeface="Segoe UI"/>
            </a:rPr>
            <a:t>Roasting craft</a:t>
          </a:r>
        </a:p>
      </xdr:txBody>
    </xdr:sp>
    <xdr:clientData/>
  </xdr:twoCellAnchor>
  <xdr:twoCellAnchor editAs="absolute">
    <xdr:from>
      <xdr:col>11</xdr:col>
      <xdr:colOff>323850</xdr:colOff>
      <xdr:row>49</xdr:row>
      <xdr:rowOff>38100</xdr:rowOff>
    </xdr:from>
    <xdr:to>
      <xdr:col>12</xdr:col>
      <xdr:colOff>123825</xdr:colOff>
      <xdr:row>50</xdr:row>
      <xdr:rowOff>104775</xdr:rowOff>
    </xdr:to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7029450" y="9372600"/>
          <a:ext cx="409575" cy="25717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0B5A3C"/>
              </a:solidFill>
              <a:latin typeface="Segoe UI"/>
              <a:cs typeface="Segoe UI"/>
            </a:rPr>
            <a:t>✓</a:t>
          </a:r>
        </a:p>
      </xdr:txBody>
    </xdr:sp>
    <xdr:clientData/>
  </xdr:twoCellAnchor>
  <xdr:twoCellAnchor editAs="absolute">
    <xdr:from>
      <xdr:col>12</xdr:col>
      <xdr:colOff>152400</xdr:colOff>
      <xdr:row>49</xdr:row>
      <xdr:rowOff>38100</xdr:rowOff>
    </xdr:from>
    <xdr:to>
      <xdr:col>12</xdr:col>
      <xdr:colOff>561975</xdr:colOff>
      <xdr:row>50</xdr:row>
      <xdr:rowOff>104775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7467600" y="9372600"/>
          <a:ext cx="409575" cy="25717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0B5A3C"/>
              </a:solidFill>
              <a:latin typeface="Segoe UI"/>
              <a:cs typeface="Segoe UI"/>
            </a:rPr>
            <a:t>✓</a:t>
          </a:r>
        </a:p>
      </xdr:txBody>
    </xdr:sp>
    <xdr:clientData/>
  </xdr:twoCellAnchor>
  <xdr:twoCellAnchor editAs="absolute">
    <xdr:from>
      <xdr:col>12</xdr:col>
      <xdr:colOff>590550</xdr:colOff>
      <xdr:row>49</xdr:row>
      <xdr:rowOff>38100</xdr:rowOff>
    </xdr:from>
    <xdr:to>
      <xdr:col>13</xdr:col>
      <xdr:colOff>390525</xdr:colOff>
      <xdr:row>50</xdr:row>
      <xdr:rowOff>104775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7905750" y="9372600"/>
          <a:ext cx="409575" cy="25717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0B5A3C"/>
              </a:solidFill>
              <a:latin typeface="Segoe UI"/>
              <a:cs typeface="Segoe UI"/>
            </a:rPr>
            <a:t>✓</a:t>
          </a:r>
        </a:p>
      </xdr:txBody>
    </xdr:sp>
    <xdr:clientData/>
  </xdr:twoCellAnchor>
  <xdr:twoCellAnchor editAs="absolute">
    <xdr:from>
      <xdr:col>13</xdr:col>
      <xdr:colOff>419100</xdr:colOff>
      <xdr:row>49</xdr:row>
      <xdr:rowOff>38100</xdr:rowOff>
    </xdr:from>
    <xdr:to>
      <xdr:col>14</xdr:col>
      <xdr:colOff>219075</xdr:colOff>
      <xdr:row>50</xdr:row>
      <xdr:rowOff>104775</xdr:rowOff>
    </xdr:to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/>
      </xdr:nvSpPr>
      <xdr:spPr>
        <a:xfrm>
          <a:off x="8343900" y="9372600"/>
          <a:ext cx="409575" cy="25717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0B5A3C"/>
              </a:solidFill>
              <a:latin typeface="Segoe UI"/>
              <a:cs typeface="Segoe UI"/>
            </a:rPr>
            <a:t>✓</a:t>
          </a:r>
        </a:p>
      </xdr:txBody>
    </xdr:sp>
    <xdr:clientData/>
  </xdr:twoCellAnchor>
  <xdr:twoCellAnchor editAs="absolute">
    <xdr:from>
      <xdr:col>14</xdr:col>
      <xdr:colOff>247650</xdr:colOff>
      <xdr:row>49</xdr:row>
      <xdr:rowOff>38100</xdr:rowOff>
    </xdr:from>
    <xdr:to>
      <xdr:col>15</xdr:col>
      <xdr:colOff>466725</xdr:colOff>
      <xdr:row>50</xdr:row>
      <xdr:rowOff>104775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/>
      </xdr:nvSpPr>
      <xdr:spPr>
        <a:xfrm>
          <a:off x="8782050" y="9372600"/>
          <a:ext cx="828675" cy="25717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0B5A3C"/>
              </a:solidFill>
              <a:latin typeface="Segoe UI"/>
              <a:cs typeface="Segoe UI"/>
            </a:rPr>
            <a:t>YES</a:t>
          </a:r>
        </a:p>
      </xdr:txBody>
    </xdr:sp>
    <xdr:clientData/>
  </xdr:twoCellAnchor>
  <xdr:twoCellAnchor editAs="absolute">
    <xdr:from>
      <xdr:col>8</xdr:col>
      <xdr:colOff>342900</xdr:colOff>
      <xdr:row>50</xdr:row>
      <xdr:rowOff>133350</xdr:rowOff>
    </xdr:from>
    <xdr:to>
      <xdr:col>11</xdr:col>
      <xdr:colOff>295275</xdr:colOff>
      <xdr:row>52</xdr:row>
      <xdr:rowOff>9525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/>
      </xdr:nvSpPr>
      <xdr:spPr>
        <a:xfrm>
          <a:off x="5219700" y="9658350"/>
          <a:ext cx="178117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1" i="0">
              <a:solidFill>
                <a:srgbClr val="1E2A26"/>
              </a:solidFill>
              <a:latin typeface="Segoe UI"/>
              <a:cs typeface="Segoe UI"/>
            </a:rPr>
            <a:t>Digital ecosystem</a:t>
          </a:r>
        </a:p>
      </xdr:txBody>
    </xdr:sp>
    <xdr:clientData/>
  </xdr:twoCellAnchor>
  <xdr:twoCellAnchor editAs="absolute">
    <xdr:from>
      <xdr:col>11</xdr:col>
      <xdr:colOff>323850</xdr:colOff>
      <xdr:row>50</xdr:row>
      <xdr:rowOff>133350</xdr:rowOff>
    </xdr:from>
    <xdr:to>
      <xdr:col>12</xdr:col>
      <xdr:colOff>123825</xdr:colOff>
      <xdr:row>52</xdr:row>
      <xdr:rowOff>9525</xdr:rowOff>
    </xdr:to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7029450" y="9658350"/>
          <a:ext cx="409575" cy="25717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0B5A3C"/>
              </a:solidFill>
              <a:latin typeface="Segoe UI"/>
              <a:cs typeface="Segoe UI"/>
            </a:rPr>
            <a:t>✓</a:t>
          </a:r>
        </a:p>
      </xdr:txBody>
    </xdr:sp>
    <xdr:clientData/>
  </xdr:twoCellAnchor>
  <xdr:twoCellAnchor editAs="absolute">
    <xdr:from>
      <xdr:col>12</xdr:col>
      <xdr:colOff>152400</xdr:colOff>
      <xdr:row>50</xdr:row>
      <xdr:rowOff>133350</xdr:rowOff>
    </xdr:from>
    <xdr:to>
      <xdr:col>12</xdr:col>
      <xdr:colOff>561975</xdr:colOff>
      <xdr:row>52</xdr:row>
      <xdr:rowOff>9525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 txBox="1"/>
      </xdr:nvSpPr>
      <xdr:spPr>
        <a:xfrm>
          <a:off x="7467600" y="9658350"/>
          <a:ext cx="409575" cy="25717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0B5A3C"/>
              </a:solidFill>
              <a:latin typeface="Segoe UI"/>
              <a:cs typeface="Segoe UI"/>
            </a:rPr>
            <a:t>✓</a:t>
          </a:r>
        </a:p>
      </xdr:txBody>
    </xdr:sp>
    <xdr:clientData/>
  </xdr:twoCellAnchor>
  <xdr:twoCellAnchor editAs="absolute">
    <xdr:from>
      <xdr:col>12</xdr:col>
      <xdr:colOff>590550</xdr:colOff>
      <xdr:row>50</xdr:row>
      <xdr:rowOff>133350</xdr:rowOff>
    </xdr:from>
    <xdr:to>
      <xdr:col>13</xdr:col>
      <xdr:colOff>390525</xdr:colOff>
      <xdr:row>52</xdr:row>
      <xdr:rowOff>9525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 txBox="1"/>
      </xdr:nvSpPr>
      <xdr:spPr>
        <a:xfrm>
          <a:off x="7905750" y="9658350"/>
          <a:ext cx="409575" cy="25717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0B5A3C"/>
              </a:solidFill>
              <a:latin typeface="Segoe UI"/>
              <a:cs typeface="Segoe UI"/>
            </a:rPr>
            <a:t>✓</a:t>
          </a:r>
        </a:p>
      </xdr:txBody>
    </xdr:sp>
    <xdr:clientData/>
  </xdr:twoCellAnchor>
  <xdr:twoCellAnchor editAs="absolute">
    <xdr:from>
      <xdr:col>13</xdr:col>
      <xdr:colOff>419100</xdr:colOff>
      <xdr:row>50</xdr:row>
      <xdr:rowOff>133350</xdr:rowOff>
    </xdr:from>
    <xdr:to>
      <xdr:col>14</xdr:col>
      <xdr:colOff>219075</xdr:colOff>
      <xdr:row>52</xdr:row>
      <xdr:rowOff>9525</xdr:rowOff>
    </xdr:to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 txBox="1"/>
      </xdr:nvSpPr>
      <xdr:spPr>
        <a:xfrm>
          <a:off x="8343900" y="9658350"/>
          <a:ext cx="409575" cy="25717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0B5A3C"/>
              </a:solidFill>
              <a:latin typeface="Segoe UI"/>
              <a:cs typeface="Segoe UI"/>
            </a:rPr>
            <a:t>✓</a:t>
          </a:r>
        </a:p>
      </xdr:txBody>
    </xdr:sp>
    <xdr:clientData/>
  </xdr:twoCellAnchor>
  <xdr:twoCellAnchor editAs="absolute">
    <xdr:from>
      <xdr:col>14</xdr:col>
      <xdr:colOff>247650</xdr:colOff>
      <xdr:row>50</xdr:row>
      <xdr:rowOff>133350</xdr:rowOff>
    </xdr:from>
    <xdr:to>
      <xdr:col>15</xdr:col>
      <xdr:colOff>466725</xdr:colOff>
      <xdr:row>52</xdr:row>
      <xdr:rowOff>9525</xdr:rowOff>
    </xdr:to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 txBox="1"/>
      </xdr:nvSpPr>
      <xdr:spPr>
        <a:xfrm>
          <a:off x="8782050" y="9658350"/>
          <a:ext cx="828675" cy="257175"/>
        </a:xfrm>
        <a:prstGeom prst="rect">
          <a:avLst/>
        </a:prstGeom>
        <a:solidFill>
          <a:srgbClr val="F3E2B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7A5A12"/>
              </a:solidFill>
              <a:latin typeface="Segoe UI"/>
              <a:cs typeface="Segoe UI"/>
            </a:rPr>
            <a:t>PARTIAL</a:t>
          </a:r>
        </a:p>
      </xdr:txBody>
    </xdr:sp>
    <xdr:clientData/>
  </xdr:twoCellAnchor>
  <xdr:twoCellAnchor editAs="absolute">
    <xdr:from>
      <xdr:col>8</xdr:col>
      <xdr:colOff>342900</xdr:colOff>
      <xdr:row>52</xdr:row>
      <xdr:rowOff>38100</xdr:rowOff>
    </xdr:from>
    <xdr:to>
      <xdr:col>11</xdr:col>
      <xdr:colOff>295275</xdr:colOff>
      <xdr:row>53</xdr:row>
      <xdr:rowOff>104775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 txBox="1"/>
      </xdr:nvSpPr>
      <xdr:spPr>
        <a:xfrm>
          <a:off x="5219700" y="9944100"/>
          <a:ext cx="178117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1" i="0">
              <a:solidFill>
                <a:srgbClr val="1E2A26"/>
              </a:solidFill>
              <a:latin typeface="Segoe UI"/>
              <a:cs typeface="Segoe UI"/>
            </a:rPr>
            <a:t>Scale supply chain</a:t>
          </a:r>
        </a:p>
      </xdr:txBody>
    </xdr:sp>
    <xdr:clientData/>
  </xdr:twoCellAnchor>
  <xdr:twoCellAnchor editAs="absolute">
    <xdr:from>
      <xdr:col>11</xdr:col>
      <xdr:colOff>323850</xdr:colOff>
      <xdr:row>52</xdr:row>
      <xdr:rowOff>38100</xdr:rowOff>
    </xdr:from>
    <xdr:to>
      <xdr:col>12</xdr:col>
      <xdr:colOff>123825</xdr:colOff>
      <xdr:row>53</xdr:row>
      <xdr:rowOff>104775</xdr:rowOff>
    </xdr:to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 txBox="1"/>
      </xdr:nvSpPr>
      <xdr:spPr>
        <a:xfrm>
          <a:off x="7029450" y="9944100"/>
          <a:ext cx="409575" cy="25717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0B5A3C"/>
              </a:solidFill>
              <a:latin typeface="Segoe UI"/>
              <a:cs typeface="Segoe UI"/>
            </a:rPr>
            <a:t>✓</a:t>
          </a:r>
        </a:p>
      </xdr:txBody>
    </xdr:sp>
    <xdr:clientData/>
  </xdr:twoCellAnchor>
  <xdr:twoCellAnchor editAs="absolute">
    <xdr:from>
      <xdr:col>12</xdr:col>
      <xdr:colOff>152400</xdr:colOff>
      <xdr:row>52</xdr:row>
      <xdr:rowOff>38100</xdr:rowOff>
    </xdr:from>
    <xdr:to>
      <xdr:col>12</xdr:col>
      <xdr:colOff>561975</xdr:colOff>
      <xdr:row>53</xdr:row>
      <xdr:rowOff>104775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 txBox="1"/>
      </xdr:nvSpPr>
      <xdr:spPr>
        <a:xfrm>
          <a:off x="7467600" y="9944100"/>
          <a:ext cx="409575" cy="257175"/>
        </a:xfrm>
        <a:prstGeom prst="rect">
          <a:avLst/>
        </a:prstGeom>
        <a:solidFill>
          <a:srgbClr val="F0D0C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8A3524"/>
              </a:solidFill>
              <a:latin typeface="Segoe UI"/>
              <a:cs typeface="Segoe UI"/>
            </a:rPr>
            <a:t>✗</a:t>
          </a:r>
        </a:p>
      </xdr:txBody>
    </xdr:sp>
    <xdr:clientData/>
  </xdr:twoCellAnchor>
  <xdr:twoCellAnchor editAs="absolute">
    <xdr:from>
      <xdr:col>12</xdr:col>
      <xdr:colOff>590550</xdr:colOff>
      <xdr:row>52</xdr:row>
      <xdr:rowOff>38100</xdr:rowOff>
    </xdr:from>
    <xdr:to>
      <xdr:col>13</xdr:col>
      <xdr:colOff>390525</xdr:colOff>
      <xdr:row>53</xdr:row>
      <xdr:rowOff>104775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 txBox="1"/>
      </xdr:nvSpPr>
      <xdr:spPr>
        <a:xfrm>
          <a:off x="7905750" y="9944100"/>
          <a:ext cx="409575" cy="257175"/>
        </a:xfrm>
        <a:prstGeom prst="rect">
          <a:avLst/>
        </a:prstGeom>
        <a:solidFill>
          <a:srgbClr val="F0D0C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8A3524"/>
              </a:solidFill>
              <a:latin typeface="Segoe UI"/>
              <a:cs typeface="Segoe UI"/>
            </a:rPr>
            <a:t>✗</a:t>
          </a:r>
        </a:p>
      </xdr:txBody>
    </xdr:sp>
    <xdr:clientData/>
  </xdr:twoCellAnchor>
  <xdr:twoCellAnchor editAs="absolute">
    <xdr:from>
      <xdr:col>13</xdr:col>
      <xdr:colOff>419100</xdr:colOff>
      <xdr:row>52</xdr:row>
      <xdr:rowOff>38100</xdr:rowOff>
    </xdr:from>
    <xdr:to>
      <xdr:col>14</xdr:col>
      <xdr:colOff>219075</xdr:colOff>
      <xdr:row>53</xdr:row>
      <xdr:rowOff>104775</xdr:rowOff>
    </xdr:to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 txBox="1"/>
      </xdr:nvSpPr>
      <xdr:spPr>
        <a:xfrm>
          <a:off x="8343900" y="9944100"/>
          <a:ext cx="409575" cy="25717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0B5A3C"/>
              </a:solidFill>
              <a:latin typeface="Segoe UI"/>
              <a:cs typeface="Segoe UI"/>
            </a:rPr>
            <a:t>✓</a:t>
          </a:r>
        </a:p>
      </xdr:txBody>
    </xdr:sp>
    <xdr:clientData/>
  </xdr:twoCellAnchor>
  <xdr:twoCellAnchor editAs="absolute">
    <xdr:from>
      <xdr:col>14</xdr:col>
      <xdr:colOff>247650</xdr:colOff>
      <xdr:row>52</xdr:row>
      <xdr:rowOff>38100</xdr:rowOff>
    </xdr:from>
    <xdr:to>
      <xdr:col>15</xdr:col>
      <xdr:colOff>466725</xdr:colOff>
      <xdr:row>53</xdr:row>
      <xdr:rowOff>104775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 txBox="1"/>
      </xdr:nvSpPr>
      <xdr:spPr>
        <a:xfrm>
          <a:off x="8782050" y="9944100"/>
          <a:ext cx="828675" cy="257175"/>
        </a:xfrm>
        <a:prstGeom prst="rect">
          <a:avLst/>
        </a:prstGeom>
        <a:solidFill>
          <a:srgbClr val="F0D0C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8A3524"/>
              </a:solidFill>
              <a:latin typeface="Segoe UI"/>
              <a:cs typeface="Segoe UI"/>
            </a:rPr>
            <a:t>NO</a:t>
          </a:r>
        </a:p>
      </xdr:txBody>
    </xdr:sp>
    <xdr:clientData/>
  </xdr:twoCellAnchor>
  <xdr:twoCellAnchor editAs="absolute">
    <xdr:from>
      <xdr:col>8</xdr:col>
      <xdr:colOff>342900</xdr:colOff>
      <xdr:row>53</xdr:row>
      <xdr:rowOff>133350</xdr:rowOff>
    </xdr:from>
    <xdr:to>
      <xdr:col>11</xdr:col>
      <xdr:colOff>295275</xdr:colOff>
      <xdr:row>55</xdr:row>
      <xdr:rowOff>9525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 txBox="1"/>
      </xdr:nvSpPr>
      <xdr:spPr>
        <a:xfrm>
          <a:off x="5219700" y="10229850"/>
          <a:ext cx="178117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1" i="0">
              <a:solidFill>
                <a:srgbClr val="1E2A26"/>
              </a:solidFill>
              <a:latin typeface="Segoe UI"/>
              <a:cs typeface="Segoe UI"/>
            </a:rPr>
            <a:t>Real-estate capability</a:t>
          </a:r>
        </a:p>
      </xdr:txBody>
    </xdr:sp>
    <xdr:clientData/>
  </xdr:twoCellAnchor>
  <xdr:twoCellAnchor editAs="absolute">
    <xdr:from>
      <xdr:col>11</xdr:col>
      <xdr:colOff>323850</xdr:colOff>
      <xdr:row>53</xdr:row>
      <xdr:rowOff>133350</xdr:rowOff>
    </xdr:from>
    <xdr:to>
      <xdr:col>12</xdr:col>
      <xdr:colOff>123825</xdr:colOff>
      <xdr:row>55</xdr:row>
      <xdr:rowOff>9525</xdr:rowOff>
    </xdr:to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 txBox="1"/>
      </xdr:nvSpPr>
      <xdr:spPr>
        <a:xfrm>
          <a:off x="7029450" y="10229850"/>
          <a:ext cx="409575" cy="25717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0B5A3C"/>
              </a:solidFill>
              <a:latin typeface="Segoe UI"/>
              <a:cs typeface="Segoe UI"/>
            </a:rPr>
            <a:t>✓</a:t>
          </a:r>
        </a:p>
      </xdr:txBody>
    </xdr:sp>
    <xdr:clientData/>
  </xdr:twoCellAnchor>
  <xdr:twoCellAnchor editAs="absolute">
    <xdr:from>
      <xdr:col>12</xdr:col>
      <xdr:colOff>152400</xdr:colOff>
      <xdr:row>53</xdr:row>
      <xdr:rowOff>133350</xdr:rowOff>
    </xdr:from>
    <xdr:to>
      <xdr:col>12</xdr:col>
      <xdr:colOff>561975</xdr:colOff>
      <xdr:row>55</xdr:row>
      <xdr:rowOff>9525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 txBox="1"/>
      </xdr:nvSpPr>
      <xdr:spPr>
        <a:xfrm>
          <a:off x="7467600" y="10229850"/>
          <a:ext cx="409575" cy="257175"/>
        </a:xfrm>
        <a:prstGeom prst="rect">
          <a:avLst/>
        </a:prstGeom>
        <a:solidFill>
          <a:srgbClr val="F0D0C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8A3524"/>
              </a:solidFill>
              <a:latin typeface="Segoe UI"/>
              <a:cs typeface="Segoe UI"/>
            </a:rPr>
            <a:t>✗</a:t>
          </a:r>
        </a:p>
      </xdr:txBody>
    </xdr:sp>
    <xdr:clientData/>
  </xdr:twoCellAnchor>
  <xdr:twoCellAnchor editAs="absolute">
    <xdr:from>
      <xdr:col>12</xdr:col>
      <xdr:colOff>590550</xdr:colOff>
      <xdr:row>53</xdr:row>
      <xdr:rowOff>133350</xdr:rowOff>
    </xdr:from>
    <xdr:to>
      <xdr:col>13</xdr:col>
      <xdr:colOff>390525</xdr:colOff>
      <xdr:row>55</xdr:row>
      <xdr:rowOff>9525</xdr:rowOff>
    </xdr:to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 txBox="1"/>
      </xdr:nvSpPr>
      <xdr:spPr>
        <a:xfrm>
          <a:off x="7905750" y="10229850"/>
          <a:ext cx="409575" cy="257175"/>
        </a:xfrm>
        <a:prstGeom prst="rect">
          <a:avLst/>
        </a:prstGeom>
        <a:solidFill>
          <a:srgbClr val="F0D0C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8A3524"/>
              </a:solidFill>
              <a:latin typeface="Segoe UI"/>
              <a:cs typeface="Segoe UI"/>
            </a:rPr>
            <a:t>✗</a:t>
          </a:r>
        </a:p>
      </xdr:txBody>
    </xdr:sp>
    <xdr:clientData/>
  </xdr:twoCellAnchor>
  <xdr:twoCellAnchor editAs="absolute">
    <xdr:from>
      <xdr:col>13</xdr:col>
      <xdr:colOff>419100</xdr:colOff>
      <xdr:row>53</xdr:row>
      <xdr:rowOff>133350</xdr:rowOff>
    </xdr:from>
    <xdr:to>
      <xdr:col>14</xdr:col>
      <xdr:colOff>219075</xdr:colOff>
      <xdr:row>55</xdr:row>
      <xdr:rowOff>9525</xdr:rowOff>
    </xdr:to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 txBox="1"/>
      </xdr:nvSpPr>
      <xdr:spPr>
        <a:xfrm>
          <a:off x="8343900" y="10229850"/>
          <a:ext cx="409575" cy="25717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0B5A3C"/>
              </a:solidFill>
              <a:latin typeface="Segoe UI"/>
              <a:cs typeface="Segoe UI"/>
            </a:rPr>
            <a:t>✓</a:t>
          </a:r>
        </a:p>
      </xdr:txBody>
    </xdr:sp>
    <xdr:clientData/>
  </xdr:twoCellAnchor>
  <xdr:twoCellAnchor editAs="absolute">
    <xdr:from>
      <xdr:col>14</xdr:col>
      <xdr:colOff>247650</xdr:colOff>
      <xdr:row>53</xdr:row>
      <xdr:rowOff>133350</xdr:rowOff>
    </xdr:from>
    <xdr:to>
      <xdr:col>15</xdr:col>
      <xdr:colOff>466725</xdr:colOff>
      <xdr:row>55</xdr:row>
      <xdr:rowOff>9525</xdr:rowOff>
    </xdr:to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 txBox="1"/>
      </xdr:nvSpPr>
      <xdr:spPr>
        <a:xfrm>
          <a:off x="8782050" y="10229850"/>
          <a:ext cx="828675" cy="257175"/>
        </a:xfrm>
        <a:prstGeom prst="rect">
          <a:avLst/>
        </a:prstGeom>
        <a:solidFill>
          <a:srgbClr val="F0D0C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8A3524"/>
              </a:solidFill>
              <a:latin typeface="Segoe UI"/>
              <a:cs typeface="Segoe UI"/>
            </a:rPr>
            <a:t>NO</a:t>
          </a:r>
        </a:p>
      </xdr:txBody>
    </xdr:sp>
    <xdr:clientData/>
  </xdr:twoCellAnchor>
  <xdr:twoCellAnchor editAs="absolute">
    <xdr:from>
      <xdr:col>17</xdr:col>
      <xdr:colOff>190500</xdr:colOff>
      <xdr:row>41</xdr:row>
      <xdr:rowOff>76200</xdr:rowOff>
    </xdr:from>
    <xdr:to>
      <xdr:col>24</xdr:col>
      <xdr:colOff>266700</xdr:colOff>
      <xdr:row>56</xdr:row>
      <xdr:rowOff>76200</xdr:rowOff>
    </xdr:to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/>
      </xdr:nvSpPr>
      <xdr:spPr>
        <a:xfrm>
          <a:off x="10553700" y="7886700"/>
          <a:ext cx="4343400" cy="2857500"/>
        </a:xfrm>
        <a:prstGeom prst="rect">
          <a:avLst/>
        </a:prstGeom>
        <a:solidFill>
          <a:srgbClr val="FFFFFF"/>
        </a:solidFill>
        <a:ln w="9525" cmpd="sng">
          <a:solidFill>
            <a:srgbClr val="E3DED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17</xdr:col>
      <xdr:colOff>381000</xdr:colOff>
      <xdr:row>42</xdr:row>
      <xdr:rowOff>19050</xdr:rowOff>
    </xdr:from>
    <xdr:to>
      <xdr:col>24</xdr:col>
      <xdr:colOff>114300</xdr:colOff>
      <xdr:row>43</xdr:row>
      <xdr:rowOff>57150</xdr:rowOff>
    </xdr:to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 txBox="1"/>
      </xdr:nvSpPr>
      <xdr:spPr>
        <a:xfrm>
          <a:off x="10744200" y="8020050"/>
          <a:ext cx="400050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 i="0">
              <a:solidFill>
                <a:srgbClr val="1E3932"/>
              </a:solidFill>
              <a:latin typeface="Segoe UI"/>
              <a:cs typeface="Segoe UI"/>
            </a:rPr>
            <a:t>Entry-mode scorecard</a:t>
          </a:r>
        </a:p>
      </xdr:txBody>
    </xdr:sp>
    <xdr:clientData/>
  </xdr:twoCellAnchor>
  <xdr:twoCellAnchor editAs="absolute">
    <xdr:from>
      <xdr:col>17</xdr:col>
      <xdr:colOff>381000</xdr:colOff>
      <xdr:row>43</xdr:row>
      <xdr:rowOff>76200</xdr:rowOff>
    </xdr:from>
    <xdr:to>
      <xdr:col>24</xdr:col>
      <xdr:colOff>114300</xdr:colOff>
      <xdr:row>44</xdr:row>
      <xdr:rowOff>76200</xdr:rowOff>
    </xdr:to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 txBox="1"/>
      </xdr:nvSpPr>
      <xdr:spPr>
        <a:xfrm>
          <a:off x="10744200" y="8267700"/>
          <a:ext cx="40005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800" b="0" i="0">
              <a:solidFill>
                <a:srgbClr val="6B7A74"/>
              </a:solidFill>
              <a:latin typeface="Segoe UI"/>
              <a:cs typeface="Segoe UI"/>
            </a:rPr>
            <a:t>Control · capability transfer · local knowledge</a:t>
          </a:r>
        </a:p>
      </xdr:txBody>
    </xdr:sp>
    <xdr:clientData/>
  </xdr:twoCellAnchor>
  <xdr:twoCellAnchor editAs="absolute">
    <xdr:from>
      <xdr:col>17</xdr:col>
      <xdr:colOff>304800</xdr:colOff>
      <xdr:row>44</xdr:row>
      <xdr:rowOff>133350</xdr:rowOff>
    </xdr:from>
    <xdr:to>
      <xdr:col>19</xdr:col>
      <xdr:colOff>295275</xdr:colOff>
      <xdr:row>46</xdr:row>
      <xdr:rowOff>47625</xdr:rowOff>
    </xdr:to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 txBox="1"/>
      </xdr:nvSpPr>
      <xdr:spPr>
        <a:xfrm>
          <a:off x="10668000" y="8515350"/>
          <a:ext cx="120967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6B7A74"/>
              </a:solidFill>
              <a:latin typeface="Segoe UI"/>
              <a:cs typeface="Segoe UI"/>
            </a:rPr>
            <a:t>Mode</a:t>
          </a:r>
        </a:p>
      </xdr:txBody>
    </xdr:sp>
    <xdr:clientData/>
  </xdr:twoCellAnchor>
  <xdr:twoCellAnchor editAs="absolute">
    <xdr:from>
      <xdr:col>19</xdr:col>
      <xdr:colOff>323850</xdr:colOff>
      <xdr:row>44</xdr:row>
      <xdr:rowOff>133350</xdr:rowOff>
    </xdr:from>
    <xdr:to>
      <xdr:col>20</xdr:col>
      <xdr:colOff>352425</xdr:colOff>
      <xdr:row>46</xdr:row>
      <xdr:rowOff>47625</xdr:rowOff>
    </xdr:to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 txBox="1"/>
      </xdr:nvSpPr>
      <xdr:spPr>
        <a:xfrm>
          <a:off x="11906250" y="8515350"/>
          <a:ext cx="63817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6B7A74"/>
              </a:solidFill>
              <a:latin typeface="Segoe UI"/>
              <a:cs typeface="Segoe UI"/>
            </a:rPr>
            <a:t>Ctrl</a:t>
          </a:r>
        </a:p>
      </xdr:txBody>
    </xdr:sp>
    <xdr:clientData/>
  </xdr:twoCellAnchor>
  <xdr:twoCellAnchor editAs="absolute">
    <xdr:from>
      <xdr:col>20</xdr:col>
      <xdr:colOff>381000</xdr:colOff>
      <xdr:row>44</xdr:row>
      <xdr:rowOff>133350</xdr:rowOff>
    </xdr:from>
    <xdr:to>
      <xdr:col>21</xdr:col>
      <xdr:colOff>409575</xdr:colOff>
      <xdr:row>46</xdr:row>
      <xdr:rowOff>47625</xdr:rowOff>
    </xdr:to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 txBox="1"/>
      </xdr:nvSpPr>
      <xdr:spPr>
        <a:xfrm>
          <a:off x="12573000" y="8515350"/>
          <a:ext cx="63817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6B7A74"/>
              </a:solidFill>
              <a:latin typeface="Segoe UI"/>
              <a:cs typeface="Segoe UI"/>
            </a:rPr>
            <a:t>Cap.</a:t>
          </a:r>
        </a:p>
      </xdr:txBody>
    </xdr:sp>
    <xdr:clientData/>
  </xdr:twoCellAnchor>
  <xdr:twoCellAnchor editAs="absolute">
    <xdr:from>
      <xdr:col>21</xdr:col>
      <xdr:colOff>438150</xdr:colOff>
      <xdr:row>44</xdr:row>
      <xdr:rowOff>133350</xdr:rowOff>
    </xdr:from>
    <xdr:to>
      <xdr:col>22</xdr:col>
      <xdr:colOff>466725</xdr:colOff>
      <xdr:row>46</xdr:row>
      <xdr:rowOff>47625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 txBox="1"/>
      </xdr:nvSpPr>
      <xdr:spPr>
        <a:xfrm>
          <a:off x="13239750" y="8515350"/>
          <a:ext cx="63817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6B7A74"/>
              </a:solidFill>
              <a:latin typeface="Segoe UI"/>
              <a:cs typeface="Segoe UI"/>
            </a:rPr>
            <a:t>Local</a:t>
          </a:r>
        </a:p>
      </xdr:txBody>
    </xdr:sp>
    <xdr:clientData/>
  </xdr:twoCellAnchor>
  <xdr:twoCellAnchor editAs="absolute">
    <xdr:from>
      <xdr:col>22</xdr:col>
      <xdr:colOff>495300</xdr:colOff>
      <xdr:row>44</xdr:row>
      <xdr:rowOff>133350</xdr:rowOff>
    </xdr:from>
    <xdr:to>
      <xdr:col>24</xdr:col>
      <xdr:colOff>104775</xdr:colOff>
      <xdr:row>46</xdr:row>
      <xdr:rowOff>47625</xdr:rowOff>
    </xdr:to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 txBox="1"/>
      </xdr:nvSpPr>
      <xdr:spPr>
        <a:xfrm>
          <a:off x="13906500" y="8515350"/>
          <a:ext cx="82867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6B7A74"/>
              </a:solidFill>
              <a:latin typeface="Segoe UI"/>
              <a:cs typeface="Segoe UI"/>
            </a:rPr>
            <a:t>Verdict</a:t>
          </a:r>
        </a:p>
      </xdr:txBody>
    </xdr:sp>
    <xdr:clientData/>
  </xdr:twoCellAnchor>
  <xdr:twoCellAnchor editAs="absolute">
    <xdr:from>
      <xdr:col>17</xdr:col>
      <xdr:colOff>304800</xdr:colOff>
      <xdr:row>46</xdr:row>
      <xdr:rowOff>76200</xdr:rowOff>
    </xdr:from>
    <xdr:to>
      <xdr:col>19</xdr:col>
      <xdr:colOff>295275</xdr:colOff>
      <xdr:row>48</xdr:row>
      <xdr:rowOff>1519</xdr:rowOff>
    </xdr:to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 txBox="1"/>
      </xdr:nvSpPr>
      <xdr:spPr>
        <a:xfrm>
          <a:off x="10668000" y="8839200"/>
          <a:ext cx="120967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1" i="0">
              <a:solidFill>
                <a:srgbClr val="1E2A26"/>
              </a:solidFill>
              <a:latin typeface="Segoe UI"/>
              <a:cs typeface="Segoe UI"/>
            </a:rPr>
            <a:t>Wholly owned</a:t>
          </a:r>
        </a:p>
      </xdr:txBody>
    </xdr:sp>
    <xdr:clientData/>
  </xdr:twoCellAnchor>
  <xdr:twoCellAnchor editAs="absolute">
    <xdr:from>
      <xdr:col>19</xdr:col>
      <xdr:colOff>323850</xdr:colOff>
      <xdr:row>46</xdr:row>
      <xdr:rowOff>76200</xdr:rowOff>
    </xdr:from>
    <xdr:to>
      <xdr:col>20</xdr:col>
      <xdr:colOff>352425</xdr:colOff>
      <xdr:row>48</xdr:row>
      <xdr:rowOff>1519</xdr:rowOff>
    </xdr:to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 txBox="1"/>
      </xdr:nvSpPr>
      <xdr:spPr>
        <a:xfrm>
          <a:off x="11906250" y="8839200"/>
          <a:ext cx="638175" cy="29527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0B5A3C"/>
              </a:solidFill>
              <a:latin typeface="Segoe UI"/>
              <a:cs typeface="Segoe UI"/>
            </a:rPr>
            <a:t>High</a:t>
          </a:r>
        </a:p>
      </xdr:txBody>
    </xdr:sp>
    <xdr:clientData/>
  </xdr:twoCellAnchor>
  <xdr:twoCellAnchor editAs="absolute">
    <xdr:from>
      <xdr:col>20</xdr:col>
      <xdr:colOff>381000</xdr:colOff>
      <xdr:row>46</xdr:row>
      <xdr:rowOff>76200</xdr:rowOff>
    </xdr:from>
    <xdr:to>
      <xdr:col>21</xdr:col>
      <xdr:colOff>409575</xdr:colOff>
      <xdr:row>48</xdr:row>
      <xdr:rowOff>1519</xdr:rowOff>
    </xdr:to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 txBox="1"/>
      </xdr:nvSpPr>
      <xdr:spPr>
        <a:xfrm>
          <a:off x="12573000" y="8839200"/>
          <a:ext cx="638175" cy="29527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0B5A3C"/>
              </a:solidFill>
              <a:latin typeface="Segoe UI"/>
              <a:cs typeface="Segoe UI"/>
            </a:rPr>
            <a:t>High</a:t>
          </a:r>
        </a:p>
      </xdr:txBody>
    </xdr:sp>
    <xdr:clientData/>
  </xdr:twoCellAnchor>
  <xdr:twoCellAnchor editAs="absolute">
    <xdr:from>
      <xdr:col>21</xdr:col>
      <xdr:colOff>438150</xdr:colOff>
      <xdr:row>46</xdr:row>
      <xdr:rowOff>76200</xdr:rowOff>
    </xdr:from>
    <xdr:to>
      <xdr:col>22</xdr:col>
      <xdr:colOff>466725</xdr:colOff>
      <xdr:row>48</xdr:row>
      <xdr:rowOff>1519</xdr:rowOff>
    </xdr:to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 txBox="1"/>
      </xdr:nvSpPr>
      <xdr:spPr>
        <a:xfrm>
          <a:off x="13239750" y="8839200"/>
          <a:ext cx="638175" cy="295275"/>
        </a:xfrm>
        <a:prstGeom prst="rect">
          <a:avLst/>
        </a:prstGeom>
        <a:solidFill>
          <a:srgbClr val="F0D0C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8A3524"/>
              </a:solidFill>
              <a:latin typeface="Segoe UI"/>
              <a:cs typeface="Segoe UI"/>
            </a:rPr>
            <a:t>Low</a:t>
          </a:r>
        </a:p>
      </xdr:txBody>
    </xdr:sp>
    <xdr:clientData/>
  </xdr:twoCellAnchor>
  <xdr:twoCellAnchor editAs="absolute">
    <xdr:from>
      <xdr:col>22</xdr:col>
      <xdr:colOff>495300</xdr:colOff>
      <xdr:row>46</xdr:row>
      <xdr:rowOff>76200</xdr:rowOff>
    </xdr:from>
    <xdr:to>
      <xdr:col>24</xdr:col>
      <xdr:colOff>104775</xdr:colOff>
      <xdr:row>48</xdr:row>
      <xdr:rowOff>1519</xdr:rowOff>
    </xdr:to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 txBox="1"/>
      </xdr:nvSpPr>
      <xdr:spPr>
        <a:xfrm>
          <a:off x="13906500" y="8839200"/>
          <a:ext cx="828675" cy="295275"/>
        </a:xfrm>
        <a:prstGeom prst="rect">
          <a:avLst/>
        </a:prstGeom>
        <a:solidFill>
          <a:srgbClr val="F0D0C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8A3524"/>
              </a:solidFill>
              <a:latin typeface="Segoe UI"/>
              <a:cs typeface="Segoe UI"/>
            </a:rPr>
            <a:t>Rejected</a:t>
          </a:r>
        </a:p>
      </xdr:txBody>
    </xdr:sp>
    <xdr:clientData/>
  </xdr:twoCellAnchor>
  <xdr:twoCellAnchor editAs="absolute">
    <xdr:from>
      <xdr:col>17</xdr:col>
      <xdr:colOff>304800</xdr:colOff>
      <xdr:row>48</xdr:row>
      <xdr:rowOff>19050</xdr:rowOff>
    </xdr:from>
    <xdr:to>
      <xdr:col>19</xdr:col>
      <xdr:colOff>295275</xdr:colOff>
      <xdr:row>49</xdr:row>
      <xdr:rowOff>123825</xdr:rowOff>
    </xdr:to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 txBox="1"/>
      </xdr:nvSpPr>
      <xdr:spPr>
        <a:xfrm>
          <a:off x="10668000" y="9163050"/>
          <a:ext cx="1209675" cy="295275"/>
        </a:xfrm>
        <a:prstGeom prst="rect">
          <a:avLst/>
        </a:prstGeom>
        <a:solidFill>
          <a:srgbClr val="E7F3ED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1" i="0">
              <a:solidFill>
                <a:srgbClr val="1E2A26"/>
              </a:solidFill>
              <a:latin typeface="Segoe UI"/>
              <a:cs typeface="Segoe UI"/>
            </a:rPr>
            <a:t>Joint venture</a:t>
          </a:r>
        </a:p>
      </xdr:txBody>
    </xdr:sp>
    <xdr:clientData/>
  </xdr:twoCellAnchor>
  <xdr:twoCellAnchor editAs="absolute">
    <xdr:from>
      <xdr:col>19</xdr:col>
      <xdr:colOff>323850</xdr:colOff>
      <xdr:row>48</xdr:row>
      <xdr:rowOff>19050</xdr:rowOff>
    </xdr:from>
    <xdr:to>
      <xdr:col>20</xdr:col>
      <xdr:colOff>352425</xdr:colOff>
      <xdr:row>49</xdr:row>
      <xdr:rowOff>123825</xdr:rowOff>
    </xdr:to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 txBox="1"/>
      </xdr:nvSpPr>
      <xdr:spPr>
        <a:xfrm>
          <a:off x="11906250" y="9163050"/>
          <a:ext cx="638175" cy="295275"/>
        </a:xfrm>
        <a:prstGeom prst="rect">
          <a:avLst/>
        </a:prstGeom>
        <a:solidFill>
          <a:srgbClr val="F3E2B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7A5A12"/>
              </a:solidFill>
              <a:latin typeface="Segoe UI"/>
              <a:cs typeface="Segoe UI"/>
            </a:rPr>
            <a:t>Shared</a:t>
          </a:r>
        </a:p>
      </xdr:txBody>
    </xdr:sp>
    <xdr:clientData/>
  </xdr:twoCellAnchor>
  <xdr:twoCellAnchor editAs="absolute">
    <xdr:from>
      <xdr:col>20</xdr:col>
      <xdr:colOff>381000</xdr:colOff>
      <xdr:row>48</xdr:row>
      <xdr:rowOff>19050</xdr:rowOff>
    </xdr:from>
    <xdr:to>
      <xdr:col>21</xdr:col>
      <xdr:colOff>409575</xdr:colOff>
      <xdr:row>49</xdr:row>
      <xdr:rowOff>123825</xdr:rowOff>
    </xdr:to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 txBox="1"/>
      </xdr:nvSpPr>
      <xdr:spPr>
        <a:xfrm>
          <a:off x="12573000" y="9163050"/>
          <a:ext cx="638175" cy="29527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0B5A3C"/>
              </a:solidFill>
              <a:latin typeface="Segoe UI"/>
              <a:cs typeface="Segoe UI"/>
            </a:rPr>
            <a:t>High</a:t>
          </a:r>
        </a:p>
      </xdr:txBody>
    </xdr:sp>
    <xdr:clientData/>
  </xdr:twoCellAnchor>
  <xdr:twoCellAnchor editAs="absolute">
    <xdr:from>
      <xdr:col>21</xdr:col>
      <xdr:colOff>438150</xdr:colOff>
      <xdr:row>48</xdr:row>
      <xdr:rowOff>19050</xdr:rowOff>
    </xdr:from>
    <xdr:to>
      <xdr:col>22</xdr:col>
      <xdr:colOff>466725</xdr:colOff>
      <xdr:row>49</xdr:row>
      <xdr:rowOff>123825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 txBox="1"/>
      </xdr:nvSpPr>
      <xdr:spPr>
        <a:xfrm>
          <a:off x="13239750" y="9163050"/>
          <a:ext cx="638175" cy="29527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0B5A3C"/>
              </a:solidFill>
              <a:latin typeface="Segoe UI"/>
              <a:cs typeface="Segoe UI"/>
            </a:rPr>
            <a:t>High</a:t>
          </a:r>
        </a:p>
      </xdr:txBody>
    </xdr:sp>
    <xdr:clientData/>
  </xdr:twoCellAnchor>
  <xdr:twoCellAnchor editAs="absolute">
    <xdr:from>
      <xdr:col>22</xdr:col>
      <xdr:colOff>495300</xdr:colOff>
      <xdr:row>48</xdr:row>
      <xdr:rowOff>19050</xdr:rowOff>
    </xdr:from>
    <xdr:to>
      <xdr:col>24</xdr:col>
      <xdr:colOff>104775</xdr:colOff>
      <xdr:row>49</xdr:row>
      <xdr:rowOff>123825</xdr:rowOff>
    </xdr:to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 txBox="1"/>
      </xdr:nvSpPr>
      <xdr:spPr>
        <a:xfrm>
          <a:off x="13906500" y="9163050"/>
          <a:ext cx="828675" cy="29527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0B5A3C"/>
              </a:solidFill>
              <a:latin typeface="Segoe UI"/>
              <a:cs typeface="Segoe UI"/>
            </a:rPr>
            <a:t>★ Chosen</a:t>
          </a:r>
        </a:p>
      </xdr:txBody>
    </xdr:sp>
    <xdr:clientData/>
  </xdr:twoCellAnchor>
  <xdr:twoCellAnchor editAs="absolute">
    <xdr:from>
      <xdr:col>17</xdr:col>
      <xdr:colOff>304800</xdr:colOff>
      <xdr:row>49</xdr:row>
      <xdr:rowOff>152400</xdr:rowOff>
    </xdr:from>
    <xdr:to>
      <xdr:col>19</xdr:col>
      <xdr:colOff>295275</xdr:colOff>
      <xdr:row>51</xdr:row>
      <xdr:rowOff>66675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 txBox="1"/>
      </xdr:nvSpPr>
      <xdr:spPr>
        <a:xfrm>
          <a:off x="10668000" y="9486900"/>
          <a:ext cx="120967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1" i="0">
              <a:solidFill>
                <a:srgbClr val="1E2A26"/>
              </a:solidFill>
              <a:latin typeface="Segoe UI"/>
              <a:cs typeface="Segoe UI"/>
            </a:rPr>
            <a:t>Franchise</a:t>
          </a:r>
        </a:p>
      </xdr:txBody>
    </xdr:sp>
    <xdr:clientData/>
  </xdr:twoCellAnchor>
  <xdr:twoCellAnchor editAs="absolute">
    <xdr:from>
      <xdr:col>19</xdr:col>
      <xdr:colOff>323850</xdr:colOff>
      <xdr:row>49</xdr:row>
      <xdr:rowOff>152400</xdr:rowOff>
    </xdr:from>
    <xdr:to>
      <xdr:col>20</xdr:col>
      <xdr:colOff>352425</xdr:colOff>
      <xdr:row>51</xdr:row>
      <xdr:rowOff>66675</xdr:rowOff>
    </xdr:to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 txBox="1"/>
      </xdr:nvSpPr>
      <xdr:spPr>
        <a:xfrm>
          <a:off x="11906250" y="9486900"/>
          <a:ext cx="638175" cy="295275"/>
        </a:xfrm>
        <a:prstGeom prst="rect">
          <a:avLst/>
        </a:prstGeom>
        <a:solidFill>
          <a:srgbClr val="F0D0C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8A3524"/>
              </a:solidFill>
              <a:latin typeface="Segoe UI"/>
              <a:cs typeface="Segoe UI"/>
            </a:rPr>
            <a:t>Low</a:t>
          </a:r>
        </a:p>
      </xdr:txBody>
    </xdr:sp>
    <xdr:clientData/>
  </xdr:twoCellAnchor>
  <xdr:twoCellAnchor editAs="absolute">
    <xdr:from>
      <xdr:col>20</xdr:col>
      <xdr:colOff>381000</xdr:colOff>
      <xdr:row>49</xdr:row>
      <xdr:rowOff>152400</xdr:rowOff>
    </xdr:from>
    <xdr:to>
      <xdr:col>21</xdr:col>
      <xdr:colOff>409575</xdr:colOff>
      <xdr:row>51</xdr:row>
      <xdr:rowOff>66675</xdr:rowOff>
    </xdr:to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 txBox="1"/>
      </xdr:nvSpPr>
      <xdr:spPr>
        <a:xfrm>
          <a:off x="12573000" y="9486900"/>
          <a:ext cx="638175" cy="295275"/>
        </a:xfrm>
        <a:prstGeom prst="rect">
          <a:avLst/>
        </a:prstGeom>
        <a:solidFill>
          <a:srgbClr val="F3E2B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7A5A12"/>
              </a:solidFill>
              <a:latin typeface="Segoe UI"/>
              <a:cs typeface="Segoe UI"/>
            </a:rPr>
            <a:t>Med</a:t>
          </a:r>
        </a:p>
      </xdr:txBody>
    </xdr:sp>
    <xdr:clientData/>
  </xdr:twoCellAnchor>
  <xdr:twoCellAnchor editAs="absolute">
    <xdr:from>
      <xdr:col>21</xdr:col>
      <xdr:colOff>438150</xdr:colOff>
      <xdr:row>49</xdr:row>
      <xdr:rowOff>152400</xdr:rowOff>
    </xdr:from>
    <xdr:to>
      <xdr:col>22</xdr:col>
      <xdr:colOff>466725</xdr:colOff>
      <xdr:row>51</xdr:row>
      <xdr:rowOff>66675</xdr:rowOff>
    </xdr:to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 txBox="1"/>
      </xdr:nvSpPr>
      <xdr:spPr>
        <a:xfrm>
          <a:off x="13239750" y="9486900"/>
          <a:ext cx="638175" cy="29527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0B5A3C"/>
              </a:solidFill>
              <a:latin typeface="Segoe UI"/>
              <a:cs typeface="Segoe UI"/>
            </a:rPr>
            <a:t>High</a:t>
          </a:r>
        </a:p>
      </xdr:txBody>
    </xdr:sp>
    <xdr:clientData/>
  </xdr:twoCellAnchor>
  <xdr:twoCellAnchor editAs="absolute">
    <xdr:from>
      <xdr:col>22</xdr:col>
      <xdr:colOff>495300</xdr:colOff>
      <xdr:row>49</xdr:row>
      <xdr:rowOff>152400</xdr:rowOff>
    </xdr:from>
    <xdr:to>
      <xdr:col>24</xdr:col>
      <xdr:colOff>104775</xdr:colOff>
      <xdr:row>51</xdr:row>
      <xdr:rowOff>66675</xdr:rowOff>
    </xdr:to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 txBox="1"/>
      </xdr:nvSpPr>
      <xdr:spPr>
        <a:xfrm>
          <a:off x="13906500" y="9486900"/>
          <a:ext cx="828675" cy="295275"/>
        </a:xfrm>
        <a:prstGeom prst="rect">
          <a:avLst/>
        </a:prstGeom>
        <a:solidFill>
          <a:srgbClr val="F3E2B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7A5A12"/>
              </a:solidFill>
              <a:latin typeface="Segoe UI"/>
              <a:cs typeface="Segoe UI"/>
            </a:rPr>
            <a:t>Fallback</a:t>
          </a:r>
        </a:p>
      </xdr:txBody>
    </xdr:sp>
    <xdr:clientData/>
  </xdr:twoCellAnchor>
  <xdr:twoCellAnchor editAs="absolute">
    <xdr:from>
      <xdr:col>17</xdr:col>
      <xdr:colOff>304800</xdr:colOff>
      <xdr:row>51</xdr:row>
      <xdr:rowOff>95250</xdr:rowOff>
    </xdr:from>
    <xdr:to>
      <xdr:col>19</xdr:col>
      <xdr:colOff>295275</xdr:colOff>
      <xdr:row>53</xdr:row>
      <xdr:rowOff>9525</xdr:rowOff>
    </xdr:to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 txBox="1"/>
      </xdr:nvSpPr>
      <xdr:spPr>
        <a:xfrm>
          <a:off x="10668000" y="9810750"/>
          <a:ext cx="120967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1" i="0">
              <a:solidFill>
                <a:srgbClr val="1E2A26"/>
              </a:solidFill>
              <a:latin typeface="Segoe UI"/>
              <a:cs typeface="Segoe UI"/>
            </a:rPr>
            <a:t>Exporting</a:t>
          </a:r>
        </a:p>
      </xdr:txBody>
    </xdr:sp>
    <xdr:clientData/>
  </xdr:twoCellAnchor>
  <xdr:twoCellAnchor editAs="absolute">
    <xdr:from>
      <xdr:col>19</xdr:col>
      <xdr:colOff>323850</xdr:colOff>
      <xdr:row>51</xdr:row>
      <xdr:rowOff>95250</xdr:rowOff>
    </xdr:from>
    <xdr:to>
      <xdr:col>20</xdr:col>
      <xdr:colOff>352425</xdr:colOff>
      <xdr:row>53</xdr:row>
      <xdr:rowOff>9525</xdr:rowOff>
    </xdr:to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 txBox="1"/>
      </xdr:nvSpPr>
      <xdr:spPr>
        <a:xfrm>
          <a:off x="11906250" y="9810750"/>
          <a:ext cx="638175" cy="295275"/>
        </a:xfrm>
        <a:prstGeom prst="rect">
          <a:avLst/>
        </a:prstGeom>
        <a:solidFill>
          <a:srgbClr val="F0D0C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8A3524"/>
              </a:solidFill>
              <a:latin typeface="Segoe UI"/>
              <a:cs typeface="Segoe UI"/>
            </a:rPr>
            <a:t>—</a:t>
          </a:r>
        </a:p>
      </xdr:txBody>
    </xdr:sp>
    <xdr:clientData/>
  </xdr:twoCellAnchor>
  <xdr:twoCellAnchor editAs="absolute">
    <xdr:from>
      <xdr:col>20</xdr:col>
      <xdr:colOff>381000</xdr:colOff>
      <xdr:row>51</xdr:row>
      <xdr:rowOff>95250</xdr:rowOff>
    </xdr:from>
    <xdr:to>
      <xdr:col>21</xdr:col>
      <xdr:colOff>409575</xdr:colOff>
      <xdr:row>53</xdr:row>
      <xdr:rowOff>9525</xdr:rowOff>
    </xdr:to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 txBox="1"/>
      </xdr:nvSpPr>
      <xdr:spPr>
        <a:xfrm>
          <a:off x="12573000" y="9810750"/>
          <a:ext cx="638175" cy="295275"/>
        </a:xfrm>
        <a:prstGeom prst="rect">
          <a:avLst/>
        </a:prstGeom>
        <a:solidFill>
          <a:srgbClr val="F0D0C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8A3524"/>
              </a:solidFill>
              <a:latin typeface="Segoe UI"/>
              <a:cs typeface="Segoe UI"/>
            </a:rPr>
            <a:t>Low</a:t>
          </a:r>
        </a:p>
      </xdr:txBody>
    </xdr:sp>
    <xdr:clientData/>
  </xdr:twoCellAnchor>
  <xdr:twoCellAnchor editAs="absolute">
    <xdr:from>
      <xdr:col>21</xdr:col>
      <xdr:colOff>438150</xdr:colOff>
      <xdr:row>51</xdr:row>
      <xdr:rowOff>95250</xdr:rowOff>
    </xdr:from>
    <xdr:to>
      <xdr:col>22</xdr:col>
      <xdr:colOff>466725</xdr:colOff>
      <xdr:row>53</xdr:row>
      <xdr:rowOff>9525</xdr:rowOff>
    </xdr:to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 txBox="1"/>
      </xdr:nvSpPr>
      <xdr:spPr>
        <a:xfrm>
          <a:off x="13239750" y="9810750"/>
          <a:ext cx="638175" cy="295275"/>
        </a:xfrm>
        <a:prstGeom prst="rect">
          <a:avLst/>
        </a:prstGeom>
        <a:solidFill>
          <a:srgbClr val="F0D0C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8A3524"/>
              </a:solidFill>
              <a:latin typeface="Segoe UI"/>
              <a:cs typeface="Segoe UI"/>
            </a:rPr>
            <a:t>Low</a:t>
          </a:r>
        </a:p>
      </xdr:txBody>
    </xdr:sp>
    <xdr:clientData/>
  </xdr:twoCellAnchor>
  <xdr:twoCellAnchor editAs="absolute">
    <xdr:from>
      <xdr:col>22</xdr:col>
      <xdr:colOff>495300</xdr:colOff>
      <xdr:row>51</xdr:row>
      <xdr:rowOff>95250</xdr:rowOff>
    </xdr:from>
    <xdr:to>
      <xdr:col>24</xdr:col>
      <xdr:colOff>104775</xdr:colOff>
      <xdr:row>53</xdr:row>
      <xdr:rowOff>9525</xdr:rowOff>
    </xdr:to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 txBox="1"/>
      </xdr:nvSpPr>
      <xdr:spPr>
        <a:xfrm>
          <a:off x="13906500" y="9810750"/>
          <a:ext cx="828675" cy="295275"/>
        </a:xfrm>
        <a:prstGeom prst="rect">
          <a:avLst/>
        </a:prstGeom>
        <a:solidFill>
          <a:srgbClr val="F0D0C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8A3524"/>
              </a:solidFill>
              <a:latin typeface="Segoe UI"/>
              <a:cs typeface="Segoe UI"/>
            </a:rPr>
            <a:t>Rejected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342900</xdr:colOff>
      <xdr:row>21</xdr:row>
      <xdr:rowOff>152400</xdr:rowOff>
    </xdr:from>
    <xdr:to>
      <xdr:col>8</xdr:col>
      <xdr:colOff>228600</xdr:colOff>
      <xdr:row>38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8</xdr:col>
      <xdr:colOff>381000</xdr:colOff>
      <xdr:row>21</xdr:row>
      <xdr:rowOff>152400</xdr:rowOff>
    </xdr:from>
    <xdr:to>
      <xdr:col>16</xdr:col>
      <xdr:colOff>266700</xdr:colOff>
      <xdr:row>38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16</xdr:col>
      <xdr:colOff>419100</xdr:colOff>
      <xdr:row>21</xdr:row>
      <xdr:rowOff>152400</xdr:rowOff>
    </xdr:from>
    <xdr:to>
      <xdr:col>24</xdr:col>
      <xdr:colOff>266700</xdr:colOff>
      <xdr:row>38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0</xdr:col>
      <xdr:colOff>0</xdr:colOff>
      <xdr:row>0</xdr:row>
      <xdr:rowOff>0</xdr:rowOff>
    </xdr:from>
    <xdr:to>
      <xdr:col>25</xdr:col>
      <xdr:colOff>0</xdr:colOff>
      <xdr:row>3</xdr:row>
      <xdr:rowOff>171450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0" y="0"/>
          <a:ext cx="15240000" cy="742950"/>
        </a:xfrm>
        <a:prstGeom prst="rect">
          <a:avLst/>
        </a:prstGeom>
        <a:gradFill>
          <a:gsLst>
            <a:gs pos="0">
              <a:srgbClr val="1E3932"/>
            </a:gs>
            <a:gs pos="100000">
              <a:srgbClr val="2C5A4C"/>
            </a:gs>
          </a:gsLst>
          <a:lin ang="1200000" scaled="0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0</xdr:col>
      <xdr:colOff>342900</xdr:colOff>
      <xdr:row>0</xdr:row>
      <xdr:rowOff>133350</xdr:rowOff>
    </xdr:from>
    <xdr:to>
      <xdr:col>9</xdr:col>
      <xdr:colOff>190500</xdr:colOff>
      <xdr:row>3</xdr:row>
      <xdr:rowOff>38100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342900" y="133350"/>
          <a:ext cx="5334000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800" b="1" i="0">
              <a:solidFill>
                <a:srgbClr val="FFFFFF"/>
              </a:solidFill>
              <a:latin typeface="Segoe UI"/>
              <a:cs typeface="Segoe UI"/>
            </a:rPr>
            <a:t>STARBUCKS NEPAL : MARKET ENTRY ANALYSIS</a:t>
          </a:r>
        </a:p>
      </xdr:txBody>
    </xdr:sp>
    <xdr:clientData/>
  </xdr:twoCellAnchor>
  <xdr:twoCellAnchor editAs="absolute">
    <xdr:from>
      <xdr:col>11</xdr:col>
      <xdr:colOff>533400</xdr:colOff>
      <xdr:row>1</xdr:row>
      <xdr:rowOff>1518</xdr:rowOff>
    </xdr:from>
    <xdr:to>
      <xdr:col>14</xdr:col>
      <xdr:colOff>133350</xdr:colOff>
      <xdr:row>3</xdr:row>
      <xdr:rowOff>1518</xdr:rowOff>
    </xdr:to>
    <xdr:sp macro="" textlink="">
      <xdr:nvSpPr>
        <xdr:cNvPr id="7" name="TextBox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7239000" y="180975"/>
          <a:ext cx="1428750" cy="381000"/>
        </a:xfrm>
        <a:prstGeom prst="rect">
          <a:avLst/>
        </a:prstGeom>
        <a:noFill/>
        <a:ln w="9525" cmpd="sng">
          <a:solidFill>
            <a:srgbClr val="6F8F8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100" b="1" i="0">
              <a:solidFill>
                <a:srgbClr val="DDE8E3"/>
              </a:solidFill>
              <a:latin typeface="Segoe UI"/>
              <a:cs typeface="Segoe UI"/>
            </a:rPr>
            <a:t>Overview</a:t>
          </a:r>
        </a:p>
      </xdr:txBody>
    </xdr:sp>
    <xdr:clientData/>
  </xdr:twoCellAnchor>
  <xdr:twoCellAnchor editAs="absolute">
    <xdr:from>
      <xdr:col>14</xdr:col>
      <xdr:colOff>228600</xdr:colOff>
      <xdr:row>1</xdr:row>
      <xdr:rowOff>1518</xdr:rowOff>
    </xdr:from>
    <xdr:to>
      <xdr:col>16</xdr:col>
      <xdr:colOff>438150</xdr:colOff>
      <xdr:row>3</xdr:row>
      <xdr:rowOff>1518</xdr:rowOff>
    </xdr:to>
    <xdr:sp macro="" textlink="">
      <xdr:nvSpPr>
        <xdr:cNvPr id="8" name="TextBox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8763000" y="180975"/>
          <a:ext cx="1428750" cy="381000"/>
        </a:xfrm>
        <a:prstGeom prst="rect">
          <a:avLst/>
        </a:prstGeom>
        <a:solidFill>
          <a:srgbClr val="CBA258"/>
        </a:solidFill>
        <a:ln w="9525" cmpd="sng">
          <a:solidFill>
            <a:srgbClr val="CBA258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100" b="1" i="0">
              <a:solidFill>
                <a:srgbClr val="1E3932"/>
              </a:solidFill>
              <a:latin typeface="Segoe UI"/>
              <a:cs typeface="Segoe UI"/>
            </a:rPr>
            <a:t>Starbucks</a:t>
          </a:r>
        </a:p>
      </xdr:txBody>
    </xdr:sp>
    <xdr:clientData/>
  </xdr:twoCellAnchor>
  <xdr:twoCellAnchor editAs="absolute">
    <xdr:from>
      <xdr:col>16</xdr:col>
      <xdr:colOff>533400</xdr:colOff>
      <xdr:row>1</xdr:row>
      <xdr:rowOff>1518</xdr:rowOff>
    </xdr:from>
    <xdr:to>
      <xdr:col>19</xdr:col>
      <xdr:colOff>133350</xdr:colOff>
      <xdr:row>3</xdr:row>
      <xdr:rowOff>1518</xdr:rowOff>
    </xdr:to>
    <xdr:sp macro="" textlink="">
      <xdr:nvSpPr>
        <xdr:cNvPr id="9" name="TextBox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10287000" y="180975"/>
          <a:ext cx="1428750" cy="381000"/>
        </a:xfrm>
        <a:prstGeom prst="rect">
          <a:avLst/>
        </a:prstGeom>
        <a:noFill/>
        <a:ln w="9525" cmpd="sng">
          <a:solidFill>
            <a:srgbClr val="6F8F8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100" b="1" i="0">
              <a:solidFill>
                <a:srgbClr val="DDE8E3"/>
              </a:solidFill>
              <a:latin typeface="Segoe UI"/>
              <a:cs typeface="Segoe UI"/>
            </a:rPr>
            <a:t>Nepal</a:t>
          </a:r>
        </a:p>
      </xdr:txBody>
    </xdr:sp>
    <xdr:clientData/>
  </xdr:twoCellAnchor>
  <xdr:twoCellAnchor editAs="absolute">
    <xdr:from>
      <xdr:col>19</xdr:col>
      <xdr:colOff>228600</xdr:colOff>
      <xdr:row>1</xdr:row>
      <xdr:rowOff>1518</xdr:rowOff>
    </xdr:from>
    <xdr:to>
      <xdr:col>21</xdr:col>
      <xdr:colOff>438150</xdr:colOff>
      <xdr:row>3</xdr:row>
      <xdr:rowOff>1518</xdr:rowOff>
    </xdr:to>
    <xdr:sp macro="" textlink="">
      <xdr:nvSpPr>
        <xdr:cNvPr id="10" name="TextBox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11811000" y="180975"/>
          <a:ext cx="1428750" cy="381000"/>
        </a:xfrm>
        <a:prstGeom prst="rect">
          <a:avLst/>
        </a:prstGeom>
        <a:noFill/>
        <a:ln w="9525" cmpd="sng">
          <a:solidFill>
            <a:srgbClr val="6F8F8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100" b="1" i="0">
              <a:solidFill>
                <a:srgbClr val="DDE8E3"/>
              </a:solidFill>
              <a:latin typeface="Segoe UI"/>
              <a:cs typeface="Segoe UI"/>
            </a:rPr>
            <a:t>Strategy</a:t>
          </a:r>
        </a:p>
      </xdr:txBody>
    </xdr:sp>
    <xdr:clientData/>
  </xdr:twoCellAnchor>
  <xdr:twoCellAnchor editAs="absolute">
    <xdr:from>
      <xdr:col>21</xdr:col>
      <xdr:colOff>533400</xdr:colOff>
      <xdr:row>1</xdr:row>
      <xdr:rowOff>1518</xdr:rowOff>
    </xdr:from>
    <xdr:to>
      <xdr:col>24</xdr:col>
      <xdr:colOff>133350</xdr:colOff>
      <xdr:row>3</xdr:row>
      <xdr:rowOff>1518</xdr:rowOff>
    </xdr:to>
    <xdr:sp macro="" textlink="">
      <xdr:nvSpPr>
        <xdr:cNvPr id="11" name="TextBox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13335000" y="180975"/>
          <a:ext cx="1428750" cy="381000"/>
        </a:xfrm>
        <a:prstGeom prst="rect">
          <a:avLst/>
        </a:prstGeom>
        <a:noFill/>
        <a:ln w="9525" cmpd="sng">
          <a:solidFill>
            <a:srgbClr val="6F8F8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100" b="1" i="0">
              <a:solidFill>
                <a:srgbClr val="DDE8E3"/>
              </a:solidFill>
              <a:latin typeface="Segoe UI"/>
              <a:cs typeface="Segoe UI"/>
            </a:rPr>
            <a:t>Sources</a:t>
          </a:r>
        </a:p>
      </xdr:txBody>
    </xdr:sp>
    <xdr:clientData/>
  </xdr:twoCellAnchor>
  <xdr:twoCellAnchor editAs="absolute">
    <xdr:from>
      <xdr:col>0</xdr:col>
      <xdr:colOff>342900</xdr:colOff>
      <xdr:row>4</xdr:row>
      <xdr:rowOff>152400</xdr:rowOff>
    </xdr:from>
    <xdr:to>
      <xdr:col>13</xdr:col>
      <xdr:colOff>38100</xdr:colOff>
      <xdr:row>6</xdr:row>
      <xdr:rowOff>152400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342900" y="914400"/>
          <a:ext cx="762000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2600" b="1" i="0">
              <a:solidFill>
                <a:srgbClr val="1E3932"/>
              </a:solidFill>
              <a:latin typeface="Segoe UI"/>
              <a:cs typeface="Segoe UI"/>
            </a:rPr>
            <a:t>Starbucks</a:t>
          </a:r>
        </a:p>
      </xdr:txBody>
    </xdr:sp>
    <xdr:clientData/>
  </xdr:twoCellAnchor>
  <xdr:twoCellAnchor editAs="absolute">
    <xdr:from>
      <xdr:col>0</xdr:col>
      <xdr:colOff>342900</xdr:colOff>
      <xdr:row>6</xdr:row>
      <xdr:rowOff>171450</xdr:rowOff>
    </xdr:from>
    <xdr:to>
      <xdr:col>24</xdr:col>
      <xdr:colOff>4379</xdr:colOff>
      <xdr:row>8</xdr:row>
      <xdr:rowOff>57150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342900" y="1314450"/>
          <a:ext cx="142875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 b="0" i="0">
              <a:solidFill>
                <a:srgbClr val="6B7A74"/>
              </a:solidFill>
              <a:latin typeface="Segoe UI"/>
              <a:cs typeface="Segoe UI"/>
            </a:rPr>
            <a:t>Financial position, portfolio concentration, China JV precedent and sustainability record (FY2025)</a:t>
          </a:r>
        </a:p>
      </xdr:txBody>
    </xdr:sp>
    <xdr:clientData/>
  </xdr:twoCellAnchor>
  <xdr:twoCellAnchor editAs="absolute">
    <xdr:from>
      <xdr:col>0</xdr:col>
      <xdr:colOff>342900</xdr:colOff>
      <xdr:row>9</xdr:row>
      <xdr:rowOff>0</xdr:rowOff>
    </xdr:from>
    <xdr:to>
      <xdr:col>6</xdr:col>
      <xdr:colOff>228600</xdr:colOff>
      <xdr:row>14</xdr:row>
      <xdr:rowOff>114300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342900" y="1714500"/>
          <a:ext cx="3543300" cy="1066800"/>
        </a:xfrm>
        <a:prstGeom prst="rect">
          <a:avLst/>
        </a:prstGeom>
        <a:solidFill>
          <a:srgbClr val="FFFFFF"/>
        </a:solidFill>
        <a:ln w="9525" cmpd="sng">
          <a:solidFill>
            <a:srgbClr val="E3DED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0</xdr:col>
      <xdr:colOff>342900</xdr:colOff>
      <xdr:row>9</xdr:row>
      <xdr:rowOff>0</xdr:rowOff>
    </xdr:from>
    <xdr:to>
      <xdr:col>0</xdr:col>
      <xdr:colOff>409575</xdr:colOff>
      <xdr:row>14</xdr:row>
      <xdr:rowOff>114300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342900" y="1714500"/>
          <a:ext cx="66675" cy="1066800"/>
        </a:xfrm>
        <a:prstGeom prst="rect">
          <a:avLst/>
        </a:prstGeom>
        <a:solidFill>
          <a:srgbClr val="00704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0</xdr:col>
      <xdr:colOff>533400</xdr:colOff>
      <xdr:row>9</xdr:row>
      <xdr:rowOff>76200</xdr:rowOff>
    </xdr:from>
    <xdr:to>
      <xdr:col>6</xdr:col>
      <xdr:colOff>133350</xdr:colOff>
      <xdr:row>10</xdr:row>
      <xdr:rowOff>114300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533400" y="1790700"/>
          <a:ext cx="325755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 b="0" i="0">
              <a:solidFill>
                <a:srgbClr val="6B7A74"/>
              </a:solidFill>
              <a:latin typeface="Segoe UI"/>
              <a:cs typeface="Segoe UI"/>
            </a:rPr>
            <a:t>Total stores globally</a:t>
          </a:r>
        </a:p>
      </xdr:txBody>
    </xdr:sp>
    <xdr:clientData/>
  </xdr:twoCellAnchor>
  <xdr:twoCellAnchor editAs="absolute">
    <xdr:from>
      <xdr:col>0</xdr:col>
      <xdr:colOff>533400</xdr:colOff>
      <xdr:row>10</xdr:row>
      <xdr:rowOff>95250</xdr:rowOff>
    </xdr:from>
    <xdr:to>
      <xdr:col>6</xdr:col>
      <xdr:colOff>133350</xdr:colOff>
      <xdr:row>12</xdr:row>
      <xdr:rowOff>171450</xdr:rowOff>
    </xdr:to>
    <xdr:sp macro="" textlink="_calc!$B$1">
      <xdr:nvSpPr>
        <xdr:cNvPr id="17" name="TextBox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/>
      </xdr:nvSpPr>
      <xdr:spPr>
        <a:xfrm>
          <a:off x="533400" y="2000250"/>
          <a:ext cx="3257550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fld id="{B8ADDEFE-BF52-4FD4-8C5D-6B85EF6FF707}" type="TxLink">
            <a:rPr lang="en-US" sz="2600" b="1" i="0">
              <a:solidFill>
                <a:srgbClr val="1E3932"/>
              </a:solidFill>
              <a:latin typeface="Segoe UI"/>
              <a:cs typeface="Segoe UI"/>
            </a:rPr>
            <a:pPr/>
            <a:t>40,990</a:t>
          </a:fld>
          <a:endParaRPr lang="en-US" sz="2600" b="1" i="0">
            <a:solidFill>
              <a:srgbClr val="1E3932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0</xdr:col>
      <xdr:colOff>533400</xdr:colOff>
      <xdr:row>13</xdr:row>
      <xdr:rowOff>253</xdr:rowOff>
    </xdr:from>
    <xdr:to>
      <xdr:col>6</xdr:col>
      <xdr:colOff>133350</xdr:colOff>
      <xdr:row>14</xdr:row>
      <xdr:rowOff>38100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/>
      </xdr:nvSpPr>
      <xdr:spPr>
        <a:xfrm>
          <a:off x="533400" y="2476500"/>
          <a:ext cx="325755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900" b="0" i="0">
              <a:solidFill>
                <a:srgbClr val="6B7A74"/>
              </a:solidFill>
              <a:latin typeface="Segoe UI"/>
              <a:cs typeface="Segoe UI"/>
            </a:rPr>
            <a:t>Starbucks (2025a)</a:t>
          </a:r>
        </a:p>
      </xdr:txBody>
    </xdr:sp>
    <xdr:clientData/>
  </xdr:twoCellAnchor>
  <xdr:twoCellAnchor editAs="absolute">
    <xdr:from>
      <xdr:col>6</xdr:col>
      <xdr:colOff>381000</xdr:colOff>
      <xdr:row>9</xdr:row>
      <xdr:rowOff>0</xdr:rowOff>
    </xdr:from>
    <xdr:to>
      <xdr:col>12</xdr:col>
      <xdr:colOff>266700</xdr:colOff>
      <xdr:row>14</xdr:row>
      <xdr:rowOff>114300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 txBox="1"/>
      </xdr:nvSpPr>
      <xdr:spPr>
        <a:xfrm>
          <a:off x="4038600" y="1714500"/>
          <a:ext cx="3543300" cy="1066800"/>
        </a:xfrm>
        <a:prstGeom prst="rect">
          <a:avLst/>
        </a:prstGeom>
        <a:solidFill>
          <a:srgbClr val="FFFFFF"/>
        </a:solidFill>
        <a:ln w="9525" cmpd="sng">
          <a:solidFill>
            <a:srgbClr val="E3DED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6</xdr:col>
      <xdr:colOff>381000</xdr:colOff>
      <xdr:row>9</xdr:row>
      <xdr:rowOff>0</xdr:rowOff>
    </xdr:from>
    <xdr:to>
      <xdr:col>6</xdr:col>
      <xdr:colOff>447675</xdr:colOff>
      <xdr:row>14</xdr:row>
      <xdr:rowOff>114300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/>
      </xdr:nvSpPr>
      <xdr:spPr>
        <a:xfrm>
          <a:off x="4038600" y="1714500"/>
          <a:ext cx="66675" cy="1066800"/>
        </a:xfrm>
        <a:prstGeom prst="rect">
          <a:avLst/>
        </a:prstGeom>
        <a:solidFill>
          <a:srgbClr val="00704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6</xdr:col>
      <xdr:colOff>571500</xdr:colOff>
      <xdr:row>9</xdr:row>
      <xdr:rowOff>76200</xdr:rowOff>
    </xdr:from>
    <xdr:to>
      <xdr:col>12</xdr:col>
      <xdr:colOff>171450</xdr:colOff>
      <xdr:row>10</xdr:row>
      <xdr:rowOff>114300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4229100" y="1790700"/>
          <a:ext cx="325755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 b="0" i="0">
              <a:solidFill>
                <a:srgbClr val="6B7A74"/>
              </a:solidFill>
              <a:latin typeface="Segoe UI"/>
              <a:cs typeface="Segoe UI"/>
            </a:rPr>
            <a:t>Net revenue</a:t>
          </a:r>
        </a:p>
      </xdr:txBody>
    </xdr:sp>
    <xdr:clientData/>
  </xdr:twoCellAnchor>
  <xdr:twoCellAnchor editAs="absolute">
    <xdr:from>
      <xdr:col>6</xdr:col>
      <xdr:colOff>571500</xdr:colOff>
      <xdr:row>10</xdr:row>
      <xdr:rowOff>95250</xdr:rowOff>
    </xdr:from>
    <xdr:to>
      <xdr:col>12</xdr:col>
      <xdr:colOff>171450</xdr:colOff>
      <xdr:row>12</xdr:row>
      <xdr:rowOff>171450</xdr:rowOff>
    </xdr:to>
    <xdr:sp macro="" textlink="_calc!$B$2">
      <xdr:nvSpPr>
        <xdr:cNvPr id="22" name="TextBox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 txBox="1"/>
      </xdr:nvSpPr>
      <xdr:spPr>
        <a:xfrm>
          <a:off x="4229100" y="2000250"/>
          <a:ext cx="3257550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fld id="{B8ADDEFE-BF52-4FD4-8C5D-6B85EF6FF707}" type="TxLink">
            <a:rPr lang="en-US" sz="2600" b="1" i="0">
              <a:solidFill>
                <a:srgbClr val="1E3932"/>
              </a:solidFill>
              <a:latin typeface="Segoe UI"/>
              <a:cs typeface="Segoe UI"/>
            </a:rPr>
            <a:pPr/>
            <a:t>US$37.2bn</a:t>
          </a:fld>
          <a:endParaRPr lang="en-US" sz="2600" b="1" i="0">
            <a:solidFill>
              <a:srgbClr val="1E3932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6</xdr:col>
      <xdr:colOff>571500</xdr:colOff>
      <xdr:row>13</xdr:row>
      <xdr:rowOff>253</xdr:rowOff>
    </xdr:from>
    <xdr:to>
      <xdr:col>12</xdr:col>
      <xdr:colOff>171450</xdr:colOff>
      <xdr:row>14</xdr:row>
      <xdr:rowOff>38100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 txBox="1"/>
      </xdr:nvSpPr>
      <xdr:spPr>
        <a:xfrm>
          <a:off x="4229100" y="2476500"/>
          <a:ext cx="325755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900" b="0" i="0">
              <a:solidFill>
                <a:srgbClr val="6B7A74"/>
              </a:solidFill>
              <a:latin typeface="Segoe UI"/>
              <a:cs typeface="Segoe UI"/>
            </a:rPr>
            <a:t>Starbucks (2025a)</a:t>
          </a:r>
        </a:p>
      </xdr:txBody>
    </xdr:sp>
    <xdr:clientData/>
  </xdr:twoCellAnchor>
  <xdr:twoCellAnchor editAs="absolute">
    <xdr:from>
      <xdr:col>12</xdr:col>
      <xdr:colOff>419100</xdr:colOff>
      <xdr:row>9</xdr:row>
      <xdr:rowOff>0</xdr:rowOff>
    </xdr:from>
    <xdr:to>
      <xdr:col>18</xdr:col>
      <xdr:colOff>304800</xdr:colOff>
      <xdr:row>14</xdr:row>
      <xdr:rowOff>114300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 txBox="1"/>
      </xdr:nvSpPr>
      <xdr:spPr>
        <a:xfrm>
          <a:off x="7734300" y="1714500"/>
          <a:ext cx="3543300" cy="1066800"/>
        </a:xfrm>
        <a:prstGeom prst="rect">
          <a:avLst/>
        </a:prstGeom>
        <a:solidFill>
          <a:srgbClr val="FFFFFF"/>
        </a:solidFill>
        <a:ln w="9525" cmpd="sng">
          <a:solidFill>
            <a:srgbClr val="E3DED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12</xdr:col>
      <xdr:colOff>419100</xdr:colOff>
      <xdr:row>9</xdr:row>
      <xdr:rowOff>0</xdr:rowOff>
    </xdr:from>
    <xdr:to>
      <xdr:col>12</xdr:col>
      <xdr:colOff>485775</xdr:colOff>
      <xdr:row>14</xdr:row>
      <xdr:rowOff>114300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 txBox="1"/>
      </xdr:nvSpPr>
      <xdr:spPr>
        <a:xfrm>
          <a:off x="7734300" y="1714500"/>
          <a:ext cx="66675" cy="1066800"/>
        </a:xfrm>
        <a:prstGeom prst="rect">
          <a:avLst/>
        </a:prstGeom>
        <a:solidFill>
          <a:srgbClr val="B5533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13</xdr:col>
      <xdr:colOff>0</xdr:colOff>
      <xdr:row>9</xdr:row>
      <xdr:rowOff>76200</xdr:rowOff>
    </xdr:from>
    <xdr:to>
      <xdr:col>18</xdr:col>
      <xdr:colOff>209550</xdr:colOff>
      <xdr:row>10</xdr:row>
      <xdr:rowOff>114300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 txBox="1"/>
      </xdr:nvSpPr>
      <xdr:spPr>
        <a:xfrm>
          <a:off x="7924800" y="1790700"/>
          <a:ext cx="325755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 b="0" i="0">
              <a:solidFill>
                <a:srgbClr val="6B7A74"/>
              </a:solidFill>
              <a:latin typeface="Segoe UI"/>
              <a:cs typeface="Segoe UI"/>
            </a:rPr>
            <a:t>GAAP operating margin</a:t>
          </a:r>
        </a:p>
      </xdr:txBody>
    </xdr:sp>
    <xdr:clientData/>
  </xdr:twoCellAnchor>
  <xdr:twoCellAnchor editAs="absolute">
    <xdr:from>
      <xdr:col>13</xdr:col>
      <xdr:colOff>0</xdr:colOff>
      <xdr:row>10</xdr:row>
      <xdr:rowOff>95250</xdr:rowOff>
    </xdr:from>
    <xdr:to>
      <xdr:col>18</xdr:col>
      <xdr:colOff>209550</xdr:colOff>
      <xdr:row>12</xdr:row>
      <xdr:rowOff>171450</xdr:rowOff>
    </xdr:to>
    <xdr:sp macro="" textlink="_calc!$B$3">
      <xdr:nvSpPr>
        <xdr:cNvPr id="27" name="TextBox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/>
      </xdr:nvSpPr>
      <xdr:spPr>
        <a:xfrm>
          <a:off x="7924800" y="2000250"/>
          <a:ext cx="3257550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fld id="{B8ADDEFE-BF52-4FD4-8C5D-6B85EF6FF707}" type="TxLink">
            <a:rPr lang="en-US" sz="2600" b="1" i="0">
              <a:solidFill>
                <a:srgbClr val="1E3932"/>
              </a:solidFill>
              <a:latin typeface="Segoe UI"/>
              <a:cs typeface="Segoe UI"/>
            </a:rPr>
            <a:pPr/>
            <a:t>7.9%</a:t>
          </a:fld>
          <a:endParaRPr lang="en-US" sz="2600" b="1" i="0">
            <a:solidFill>
              <a:srgbClr val="1E3932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13</xdr:col>
      <xdr:colOff>0</xdr:colOff>
      <xdr:row>13</xdr:row>
      <xdr:rowOff>253</xdr:rowOff>
    </xdr:from>
    <xdr:to>
      <xdr:col>18</xdr:col>
      <xdr:colOff>209550</xdr:colOff>
      <xdr:row>14</xdr:row>
      <xdr:rowOff>38100</xdr:rowOff>
    </xdr:to>
    <xdr:sp macro="" textlink="_calc!$B$4">
      <xdr:nvSpPr>
        <xdr:cNvPr id="28" name="TextBox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 txBox="1"/>
      </xdr:nvSpPr>
      <xdr:spPr>
        <a:xfrm>
          <a:off x="7924800" y="2476500"/>
          <a:ext cx="325755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fld id="{B8ADDEFE-BF52-4FD4-8C5D-6B85EF6FF707}" type="TxLink">
            <a:rPr lang="en-US" sz="900" b="0" i="0">
              <a:solidFill>
                <a:srgbClr val="6B7A74"/>
              </a:solidFill>
              <a:latin typeface="Segoe UI"/>
              <a:cs typeface="Segoe UI"/>
            </a:rPr>
            <a:pPr/>
            <a:t>▼ 710 bps contraction</a:t>
          </a:fld>
          <a:endParaRPr lang="en-US" sz="900" b="0" i="0">
            <a:solidFill>
              <a:srgbClr val="6B7A74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18</xdr:col>
      <xdr:colOff>457200</xdr:colOff>
      <xdr:row>9</xdr:row>
      <xdr:rowOff>0</xdr:rowOff>
    </xdr:from>
    <xdr:to>
      <xdr:col>24</xdr:col>
      <xdr:colOff>342900</xdr:colOff>
      <xdr:row>14</xdr:row>
      <xdr:rowOff>114300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 txBox="1"/>
      </xdr:nvSpPr>
      <xdr:spPr>
        <a:xfrm>
          <a:off x="11430000" y="1714500"/>
          <a:ext cx="3543300" cy="1066800"/>
        </a:xfrm>
        <a:prstGeom prst="rect">
          <a:avLst/>
        </a:prstGeom>
        <a:solidFill>
          <a:srgbClr val="FFFFFF"/>
        </a:solidFill>
        <a:ln w="9525" cmpd="sng">
          <a:solidFill>
            <a:srgbClr val="E3DED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18</xdr:col>
      <xdr:colOff>457200</xdr:colOff>
      <xdr:row>9</xdr:row>
      <xdr:rowOff>0</xdr:rowOff>
    </xdr:from>
    <xdr:to>
      <xdr:col>18</xdr:col>
      <xdr:colOff>523875</xdr:colOff>
      <xdr:row>14</xdr:row>
      <xdr:rowOff>114300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 txBox="1"/>
      </xdr:nvSpPr>
      <xdr:spPr>
        <a:xfrm>
          <a:off x="11430000" y="1714500"/>
          <a:ext cx="66675" cy="1066800"/>
        </a:xfrm>
        <a:prstGeom prst="rect">
          <a:avLst/>
        </a:prstGeom>
        <a:solidFill>
          <a:srgbClr val="00704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19</xdr:col>
      <xdr:colOff>38100</xdr:colOff>
      <xdr:row>9</xdr:row>
      <xdr:rowOff>76200</xdr:rowOff>
    </xdr:from>
    <xdr:to>
      <xdr:col>24</xdr:col>
      <xdr:colOff>247650</xdr:colOff>
      <xdr:row>10</xdr:row>
      <xdr:rowOff>114300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 txBox="1"/>
      </xdr:nvSpPr>
      <xdr:spPr>
        <a:xfrm>
          <a:off x="11620500" y="1790700"/>
          <a:ext cx="325755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 b="0" i="0">
              <a:solidFill>
                <a:srgbClr val="6B7A74"/>
              </a:solidFill>
              <a:latin typeface="Segoe UI"/>
              <a:cs typeface="Segoe UI"/>
            </a:rPr>
            <a:t>China growth target (Boyu JV)</a:t>
          </a:r>
        </a:p>
      </xdr:txBody>
    </xdr:sp>
    <xdr:clientData/>
  </xdr:twoCellAnchor>
  <xdr:twoCellAnchor editAs="absolute">
    <xdr:from>
      <xdr:col>19</xdr:col>
      <xdr:colOff>38100</xdr:colOff>
      <xdr:row>10</xdr:row>
      <xdr:rowOff>95250</xdr:rowOff>
    </xdr:from>
    <xdr:to>
      <xdr:col>24</xdr:col>
      <xdr:colOff>247650</xdr:colOff>
      <xdr:row>12</xdr:row>
      <xdr:rowOff>171450</xdr:rowOff>
    </xdr:to>
    <xdr:sp macro="" textlink="_calc!$B$32">
      <xdr:nvSpPr>
        <xdr:cNvPr id="32" name="TextBox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/>
      </xdr:nvSpPr>
      <xdr:spPr>
        <a:xfrm>
          <a:off x="11620500" y="2000250"/>
          <a:ext cx="3257550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fld id="{B8ADDEFE-BF52-4FD4-8C5D-6B85EF6FF707}" type="TxLink">
            <a:rPr lang="en-US" sz="2600" b="1" i="0">
              <a:solidFill>
                <a:srgbClr val="1E3932"/>
              </a:solidFill>
              <a:latin typeface="Segoe UI"/>
              <a:cs typeface="Segoe UI"/>
            </a:rPr>
            <a:pPr/>
            <a:t>20,000 stores</a:t>
          </a:fld>
          <a:endParaRPr lang="en-US" sz="2600" b="1" i="0">
            <a:solidFill>
              <a:srgbClr val="1E3932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19</xdr:col>
      <xdr:colOff>38100</xdr:colOff>
      <xdr:row>13</xdr:row>
      <xdr:rowOff>253</xdr:rowOff>
    </xdr:from>
    <xdr:to>
      <xdr:col>24</xdr:col>
      <xdr:colOff>247650</xdr:colOff>
      <xdr:row>14</xdr:row>
      <xdr:rowOff>38100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 txBox="1"/>
      </xdr:nvSpPr>
      <xdr:spPr>
        <a:xfrm>
          <a:off x="11620500" y="2476500"/>
          <a:ext cx="325755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900" b="0" i="0">
              <a:solidFill>
                <a:srgbClr val="6B7A74"/>
              </a:solidFill>
              <a:latin typeface="Segoe UI"/>
              <a:cs typeface="Segoe UI"/>
            </a:rPr>
            <a:t>Starbucks (2026a)</a:t>
          </a:r>
        </a:p>
      </xdr:txBody>
    </xdr:sp>
    <xdr:clientData/>
  </xdr:twoCellAnchor>
  <xdr:twoCellAnchor editAs="absolute">
    <xdr:from>
      <xdr:col>0</xdr:col>
      <xdr:colOff>342900</xdr:colOff>
      <xdr:row>15</xdr:row>
      <xdr:rowOff>76200</xdr:rowOff>
    </xdr:from>
    <xdr:to>
      <xdr:col>6</xdr:col>
      <xdr:colOff>228600</xdr:colOff>
      <xdr:row>21</xdr:row>
      <xdr:rowOff>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 txBox="1"/>
      </xdr:nvSpPr>
      <xdr:spPr>
        <a:xfrm>
          <a:off x="342900" y="2933700"/>
          <a:ext cx="3543300" cy="1066800"/>
        </a:xfrm>
        <a:prstGeom prst="rect">
          <a:avLst/>
        </a:prstGeom>
        <a:solidFill>
          <a:srgbClr val="FFFFFF"/>
        </a:solidFill>
        <a:ln w="9525" cmpd="sng">
          <a:solidFill>
            <a:srgbClr val="E3DED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0</xdr:col>
      <xdr:colOff>342900</xdr:colOff>
      <xdr:row>15</xdr:row>
      <xdr:rowOff>76200</xdr:rowOff>
    </xdr:from>
    <xdr:to>
      <xdr:col>0</xdr:col>
      <xdr:colOff>409575</xdr:colOff>
      <xdr:row>21</xdr:row>
      <xdr:rowOff>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 txBox="1"/>
      </xdr:nvSpPr>
      <xdr:spPr>
        <a:xfrm>
          <a:off x="342900" y="2933700"/>
          <a:ext cx="66675" cy="1066800"/>
        </a:xfrm>
        <a:prstGeom prst="rect">
          <a:avLst/>
        </a:prstGeom>
        <a:solidFill>
          <a:srgbClr val="B5533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0</xdr:col>
      <xdr:colOff>533400</xdr:colOff>
      <xdr:row>15</xdr:row>
      <xdr:rowOff>152400</xdr:rowOff>
    </xdr:from>
    <xdr:to>
      <xdr:col>6</xdr:col>
      <xdr:colOff>133350</xdr:colOff>
      <xdr:row>17</xdr:row>
      <xdr:rowOff>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 txBox="1"/>
      </xdr:nvSpPr>
      <xdr:spPr>
        <a:xfrm>
          <a:off x="533400" y="3009900"/>
          <a:ext cx="325755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 b="0" i="0">
              <a:solidFill>
                <a:srgbClr val="6B7A74"/>
              </a:solidFill>
              <a:latin typeface="Segoe UI"/>
              <a:cs typeface="Segoe UI"/>
            </a:rPr>
            <a:t>Global comparable store sales</a:t>
          </a:r>
        </a:p>
      </xdr:txBody>
    </xdr:sp>
    <xdr:clientData/>
  </xdr:twoCellAnchor>
  <xdr:twoCellAnchor editAs="absolute">
    <xdr:from>
      <xdr:col>0</xdr:col>
      <xdr:colOff>533400</xdr:colOff>
      <xdr:row>16</xdr:row>
      <xdr:rowOff>171450</xdr:rowOff>
    </xdr:from>
    <xdr:to>
      <xdr:col>6</xdr:col>
      <xdr:colOff>133350</xdr:colOff>
      <xdr:row>19</xdr:row>
      <xdr:rowOff>57150</xdr:rowOff>
    </xdr:to>
    <xdr:sp macro="" textlink="_calc!$B$33">
      <xdr:nvSpPr>
        <xdr:cNvPr id="37" name="TextBox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 txBox="1"/>
      </xdr:nvSpPr>
      <xdr:spPr>
        <a:xfrm>
          <a:off x="533400" y="3219450"/>
          <a:ext cx="3257550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fld id="{B8ADDEFE-BF52-4FD4-8C5D-6B85EF6FF707}" type="TxLink">
            <a:rPr lang="en-US" sz="2600" b="1" i="0">
              <a:solidFill>
                <a:srgbClr val="1E3932"/>
              </a:solidFill>
              <a:latin typeface="Segoe UI"/>
              <a:cs typeface="Segoe UI"/>
            </a:rPr>
            <a:pPr/>
            <a:t>-1%</a:t>
          </a:fld>
          <a:endParaRPr lang="en-US" sz="2600" b="1" i="0">
            <a:solidFill>
              <a:srgbClr val="1E3932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0</xdr:col>
      <xdr:colOff>533400</xdr:colOff>
      <xdr:row>19</xdr:row>
      <xdr:rowOff>76200</xdr:rowOff>
    </xdr:from>
    <xdr:to>
      <xdr:col>6</xdr:col>
      <xdr:colOff>133350</xdr:colOff>
      <xdr:row>20</xdr:row>
      <xdr:rowOff>114300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 txBox="1"/>
      </xdr:nvSpPr>
      <xdr:spPr>
        <a:xfrm>
          <a:off x="533400" y="3695700"/>
          <a:ext cx="325755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900" b="0" i="0">
              <a:solidFill>
                <a:srgbClr val="6B7A74"/>
              </a:solidFill>
              <a:latin typeface="Segoe UI"/>
              <a:cs typeface="Segoe UI"/>
            </a:rPr>
            <a:t>Starbucks (2025a)</a:t>
          </a:r>
        </a:p>
      </xdr:txBody>
    </xdr:sp>
    <xdr:clientData/>
  </xdr:twoCellAnchor>
  <xdr:twoCellAnchor editAs="absolute">
    <xdr:from>
      <xdr:col>6</xdr:col>
      <xdr:colOff>381000</xdr:colOff>
      <xdr:row>15</xdr:row>
      <xdr:rowOff>76200</xdr:rowOff>
    </xdr:from>
    <xdr:to>
      <xdr:col>12</xdr:col>
      <xdr:colOff>266700</xdr:colOff>
      <xdr:row>21</xdr:row>
      <xdr:rowOff>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 txBox="1"/>
      </xdr:nvSpPr>
      <xdr:spPr>
        <a:xfrm>
          <a:off x="4038600" y="2933700"/>
          <a:ext cx="3543300" cy="1066800"/>
        </a:xfrm>
        <a:prstGeom prst="rect">
          <a:avLst/>
        </a:prstGeom>
        <a:solidFill>
          <a:srgbClr val="FFFFFF"/>
        </a:solidFill>
        <a:ln w="9525" cmpd="sng">
          <a:solidFill>
            <a:srgbClr val="E3DED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6</xdr:col>
      <xdr:colOff>381000</xdr:colOff>
      <xdr:row>15</xdr:row>
      <xdr:rowOff>76200</xdr:rowOff>
    </xdr:from>
    <xdr:to>
      <xdr:col>6</xdr:col>
      <xdr:colOff>447675</xdr:colOff>
      <xdr:row>21</xdr:row>
      <xdr:rowOff>0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 txBox="1"/>
      </xdr:nvSpPr>
      <xdr:spPr>
        <a:xfrm>
          <a:off x="4038600" y="2933700"/>
          <a:ext cx="66675" cy="1066800"/>
        </a:xfrm>
        <a:prstGeom prst="rect">
          <a:avLst/>
        </a:prstGeom>
        <a:solidFill>
          <a:srgbClr val="B5533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6</xdr:col>
      <xdr:colOff>571500</xdr:colOff>
      <xdr:row>15</xdr:row>
      <xdr:rowOff>152400</xdr:rowOff>
    </xdr:from>
    <xdr:to>
      <xdr:col>12</xdr:col>
      <xdr:colOff>171450</xdr:colOff>
      <xdr:row>17</xdr:row>
      <xdr:rowOff>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/>
      </xdr:nvSpPr>
      <xdr:spPr>
        <a:xfrm>
          <a:off x="4229100" y="3009900"/>
          <a:ext cx="325755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 b="0" i="0">
              <a:solidFill>
                <a:srgbClr val="6B7A74"/>
              </a:solidFill>
              <a:latin typeface="Segoe UI"/>
              <a:cs typeface="Segoe UI"/>
            </a:rPr>
            <a:t>North America comparable sales</a:t>
          </a:r>
        </a:p>
      </xdr:txBody>
    </xdr:sp>
    <xdr:clientData/>
  </xdr:twoCellAnchor>
  <xdr:twoCellAnchor editAs="absolute">
    <xdr:from>
      <xdr:col>6</xdr:col>
      <xdr:colOff>571500</xdr:colOff>
      <xdr:row>16</xdr:row>
      <xdr:rowOff>171450</xdr:rowOff>
    </xdr:from>
    <xdr:to>
      <xdr:col>12</xdr:col>
      <xdr:colOff>171450</xdr:colOff>
      <xdr:row>19</xdr:row>
      <xdr:rowOff>57150</xdr:rowOff>
    </xdr:to>
    <xdr:sp macro="" textlink="_calc!$B$34">
      <xdr:nvSpPr>
        <xdr:cNvPr id="42" name="TextBox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 txBox="1"/>
      </xdr:nvSpPr>
      <xdr:spPr>
        <a:xfrm>
          <a:off x="4229100" y="3219450"/>
          <a:ext cx="3257550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fld id="{B8ADDEFE-BF52-4FD4-8C5D-6B85EF6FF707}" type="TxLink">
            <a:rPr lang="en-US" sz="2600" b="1" i="0">
              <a:solidFill>
                <a:srgbClr val="1E3932"/>
              </a:solidFill>
              <a:latin typeface="Segoe UI"/>
              <a:cs typeface="Segoe UI"/>
            </a:rPr>
            <a:pPr/>
            <a:t>-2%</a:t>
          </a:fld>
          <a:endParaRPr lang="en-US" sz="2600" b="1" i="0">
            <a:solidFill>
              <a:srgbClr val="1E3932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6</xdr:col>
      <xdr:colOff>571500</xdr:colOff>
      <xdr:row>19</xdr:row>
      <xdr:rowOff>76200</xdr:rowOff>
    </xdr:from>
    <xdr:to>
      <xdr:col>12</xdr:col>
      <xdr:colOff>171450</xdr:colOff>
      <xdr:row>20</xdr:row>
      <xdr:rowOff>114300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 txBox="1"/>
      </xdr:nvSpPr>
      <xdr:spPr>
        <a:xfrm>
          <a:off x="4229100" y="3695700"/>
          <a:ext cx="325755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900" b="0" i="0">
              <a:solidFill>
                <a:srgbClr val="6B7A74"/>
              </a:solidFill>
              <a:latin typeface="Segoe UI"/>
              <a:cs typeface="Segoe UI"/>
            </a:rPr>
            <a:t>Starbucks (2025a)</a:t>
          </a:r>
        </a:p>
      </xdr:txBody>
    </xdr:sp>
    <xdr:clientData/>
  </xdr:twoCellAnchor>
  <xdr:twoCellAnchor editAs="absolute">
    <xdr:from>
      <xdr:col>12</xdr:col>
      <xdr:colOff>419100</xdr:colOff>
      <xdr:row>15</xdr:row>
      <xdr:rowOff>76200</xdr:rowOff>
    </xdr:from>
    <xdr:to>
      <xdr:col>18</xdr:col>
      <xdr:colOff>304800</xdr:colOff>
      <xdr:row>21</xdr:row>
      <xdr:rowOff>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 txBox="1"/>
      </xdr:nvSpPr>
      <xdr:spPr>
        <a:xfrm>
          <a:off x="7734300" y="2933700"/>
          <a:ext cx="3543300" cy="1066800"/>
        </a:xfrm>
        <a:prstGeom prst="rect">
          <a:avLst/>
        </a:prstGeom>
        <a:solidFill>
          <a:srgbClr val="FFFFFF"/>
        </a:solidFill>
        <a:ln w="9525" cmpd="sng">
          <a:solidFill>
            <a:srgbClr val="E3DED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12</xdr:col>
      <xdr:colOff>419100</xdr:colOff>
      <xdr:row>15</xdr:row>
      <xdr:rowOff>76200</xdr:rowOff>
    </xdr:from>
    <xdr:to>
      <xdr:col>12</xdr:col>
      <xdr:colOff>485775</xdr:colOff>
      <xdr:row>21</xdr:row>
      <xdr:rowOff>0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 txBox="1"/>
      </xdr:nvSpPr>
      <xdr:spPr>
        <a:xfrm>
          <a:off x="7734300" y="2933700"/>
          <a:ext cx="66675" cy="1066800"/>
        </a:xfrm>
        <a:prstGeom prst="rect">
          <a:avLst/>
        </a:prstGeom>
        <a:solidFill>
          <a:srgbClr val="CBA258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13</xdr:col>
      <xdr:colOff>0</xdr:colOff>
      <xdr:row>15</xdr:row>
      <xdr:rowOff>152400</xdr:rowOff>
    </xdr:from>
    <xdr:to>
      <xdr:col>18</xdr:col>
      <xdr:colOff>209550</xdr:colOff>
      <xdr:row>17</xdr:row>
      <xdr:rowOff>0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 txBox="1"/>
      </xdr:nvSpPr>
      <xdr:spPr>
        <a:xfrm>
          <a:off x="7924800" y="3009900"/>
          <a:ext cx="325755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 b="0" i="0">
              <a:solidFill>
                <a:srgbClr val="6B7A74"/>
              </a:solidFill>
              <a:latin typeface="Segoe UI"/>
              <a:cs typeface="Segoe UI"/>
            </a:rPr>
            <a:t>Partner labour investment</a:t>
          </a:r>
        </a:p>
      </xdr:txBody>
    </xdr:sp>
    <xdr:clientData/>
  </xdr:twoCellAnchor>
  <xdr:twoCellAnchor editAs="absolute">
    <xdr:from>
      <xdr:col>13</xdr:col>
      <xdr:colOff>0</xdr:colOff>
      <xdr:row>16</xdr:row>
      <xdr:rowOff>171450</xdr:rowOff>
    </xdr:from>
    <xdr:to>
      <xdr:col>18</xdr:col>
      <xdr:colOff>209550</xdr:colOff>
      <xdr:row>19</xdr:row>
      <xdr:rowOff>57150</xdr:rowOff>
    </xdr:to>
    <xdr:sp macro="" textlink="_calc!$B$35">
      <xdr:nvSpPr>
        <xdr:cNvPr id="47" name="TextBox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 txBox="1"/>
      </xdr:nvSpPr>
      <xdr:spPr>
        <a:xfrm>
          <a:off x="7924800" y="3219450"/>
          <a:ext cx="3257550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fld id="{B8ADDEFE-BF52-4FD4-8C5D-6B85EF6FF707}" type="TxLink">
            <a:rPr lang="en-US" sz="2600" b="1" i="0">
              <a:solidFill>
                <a:srgbClr val="1E3932"/>
              </a:solidFill>
              <a:latin typeface="Segoe UI"/>
              <a:cs typeface="Segoe UI"/>
            </a:rPr>
            <a:pPr/>
            <a:t>US$500m</a:t>
          </a:fld>
          <a:endParaRPr lang="en-US" sz="2600" b="1" i="0">
            <a:solidFill>
              <a:srgbClr val="1E3932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13</xdr:col>
      <xdr:colOff>0</xdr:colOff>
      <xdr:row>19</xdr:row>
      <xdr:rowOff>76200</xdr:rowOff>
    </xdr:from>
    <xdr:to>
      <xdr:col>18</xdr:col>
      <xdr:colOff>209550</xdr:colOff>
      <xdr:row>20</xdr:row>
      <xdr:rowOff>114300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 txBox="1"/>
      </xdr:nvSpPr>
      <xdr:spPr>
        <a:xfrm>
          <a:off x="7924800" y="3695700"/>
          <a:ext cx="325755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900" b="0" i="0">
              <a:solidFill>
                <a:srgbClr val="6B7A74"/>
              </a:solidFill>
              <a:latin typeface="Segoe UI"/>
              <a:cs typeface="Segoe UI"/>
            </a:rPr>
            <a:t>Starbucks (2025c)</a:t>
          </a:r>
        </a:p>
      </xdr:txBody>
    </xdr:sp>
    <xdr:clientData/>
  </xdr:twoCellAnchor>
  <xdr:twoCellAnchor editAs="absolute">
    <xdr:from>
      <xdr:col>18</xdr:col>
      <xdr:colOff>457200</xdr:colOff>
      <xdr:row>15</xdr:row>
      <xdr:rowOff>76200</xdr:rowOff>
    </xdr:from>
    <xdr:to>
      <xdr:col>24</xdr:col>
      <xdr:colOff>342900</xdr:colOff>
      <xdr:row>21</xdr:row>
      <xdr:rowOff>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 txBox="1"/>
      </xdr:nvSpPr>
      <xdr:spPr>
        <a:xfrm>
          <a:off x="11430000" y="2933700"/>
          <a:ext cx="3543300" cy="1066800"/>
        </a:xfrm>
        <a:prstGeom prst="rect">
          <a:avLst/>
        </a:prstGeom>
        <a:solidFill>
          <a:srgbClr val="FFFFFF"/>
        </a:solidFill>
        <a:ln w="9525" cmpd="sng">
          <a:solidFill>
            <a:srgbClr val="E3DED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18</xdr:col>
      <xdr:colOff>457200</xdr:colOff>
      <xdr:row>15</xdr:row>
      <xdr:rowOff>76200</xdr:rowOff>
    </xdr:from>
    <xdr:to>
      <xdr:col>18</xdr:col>
      <xdr:colOff>523875</xdr:colOff>
      <xdr:row>21</xdr:row>
      <xdr:rowOff>0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 txBox="1"/>
      </xdr:nvSpPr>
      <xdr:spPr>
        <a:xfrm>
          <a:off x="11430000" y="2933700"/>
          <a:ext cx="66675" cy="1066800"/>
        </a:xfrm>
        <a:prstGeom prst="rect">
          <a:avLst/>
        </a:prstGeom>
        <a:solidFill>
          <a:srgbClr val="CBA258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19</xdr:col>
      <xdr:colOff>38100</xdr:colOff>
      <xdr:row>15</xdr:row>
      <xdr:rowOff>152400</xdr:rowOff>
    </xdr:from>
    <xdr:to>
      <xdr:col>24</xdr:col>
      <xdr:colOff>247650</xdr:colOff>
      <xdr:row>17</xdr:row>
      <xdr:rowOff>0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 txBox="1"/>
      </xdr:nvSpPr>
      <xdr:spPr>
        <a:xfrm>
          <a:off x="11620500" y="3009900"/>
          <a:ext cx="325755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 b="0" i="0">
              <a:solidFill>
                <a:srgbClr val="6B7A74"/>
              </a:solidFill>
              <a:latin typeface="Segoe UI"/>
              <a:cs typeface="Segoe UI"/>
            </a:rPr>
            <a:t>Bean Stock recipients (2024)</a:t>
          </a:r>
        </a:p>
      </xdr:txBody>
    </xdr:sp>
    <xdr:clientData/>
  </xdr:twoCellAnchor>
  <xdr:twoCellAnchor editAs="absolute">
    <xdr:from>
      <xdr:col>19</xdr:col>
      <xdr:colOff>38100</xdr:colOff>
      <xdr:row>16</xdr:row>
      <xdr:rowOff>171450</xdr:rowOff>
    </xdr:from>
    <xdr:to>
      <xdr:col>24</xdr:col>
      <xdr:colOff>247650</xdr:colOff>
      <xdr:row>19</xdr:row>
      <xdr:rowOff>57150</xdr:rowOff>
    </xdr:to>
    <xdr:sp macro="" textlink="_calc!$B$36">
      <xdr:nvSpPr>
        <xdr:cNvPr id="52" name="TextBox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 txBox="1"/>
      </xdr:nvSpPr>
      <xdr:spPr>
        <a:xfrm>
          <a:off x="11620500" y="3219450"/>
          <a:ext cx="3257550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fld id="{B8ADDEFE-BF52-4FD4-8C5D-6B85EF6FF707}" type="TxLink">
            <a:rPr lang="en-US" sz="2600" b="1" i="0">
              <a:solidFill>
                <a:srgbClr val="1E3932"/>
              </a:solidFill>
              <a:latin typeface="Segoe UI"/>
              <a:cs typeface="Segoe UI"/>
            </a:rPr>
            <a:pPr/>
            <a:t>230,000</a:t>
          </a:fld>
          <a:endParaRPr lang="en-US" sz="2600" b="1" i="0">
            <a:solidFill>
              <a:srgbClr val="1E3932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19</xdr:col>
      <xdr:colOff>38100</xdr:colOff>
      <xdr:row>19</xdr:row>
      <xdr:rowOff>76200</xdr:rowOff>
    </xdr:from>
    <xdr:to>
      <xdr:col>24</xdr:col>
      <xdr:colOff>247650</xdr:colOff>
      <xdr:row>20</xdr:row>
      <xdr:rowOff>114300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 txBox="1"/>
      </xdr:nvSpPr>
      <xdr:spPr>
        <a:xfrm>
          <a:off x="11620500" y="3695700"/>
          <a:ext cx="325755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900" b="0" i="0">
              <a:solidFill>
                <a:srgbClr val="6B7A74"/>
              </a:solidFill>
              <a:latin typeface="Segoe UI"/>
              <a:cs typeface="Segoe UI"/>
            </a:rPr>
            <a:t>Starbucks (2025b)</a:t>
          </a:r>
        </a:p>
      </xdr:txBody>
    </xdr:sp>
    <xdr:clientData/>
  </xdr:twoCellAnchor>
  <xdr:twoCellAnchor editAs="absolute">
    <xdr:from>
      <xdr:col>0</xdr:col>
      <xdr:colOff>342900</xdr:colOff>
      <xdr:row>39</xdr:row>
      <xdr:rowOff>114300</xdr:rowOff>
    </xdr:from>
    <xdr:to>
      <xdr:col>24</xdr:col>
      <xdr:colOff>266700</xdr:colOff>
      <xdr:row>56</xdr:row>
      <xdr:rowOff>114300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 txBox="1"/>
      </xdr:nvSpPr>
      <xdr:spPr>
        <a:xfrm>
          <a:off x="342900" y="7543800"/>
          <a:ext cx="14554200" cy="3238500"/>
        </a:xfrm>
        <a:prstGeom prst="rect">
          <a:avLst/>
        </a:prstGeom>
        <a:solidFill>
          <a:srgbClr val="FFFFFF"/>
        </a:solidFill>
        <a:ln w="9525" cmpd="sng">
          <a:solidFill>
            <a:srgbClr val="E3DED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0</xdr:col>
      <xdr:colOff>514350</xdr:colOff>
      <xdr:row>40</xdr:row>
      <xdr:rowOff>38100</xdr:rowOff>
    </xdr:from>
    <xdr:to>
      <xdr:col>24</xdr:col>
      <xdr:colOff>95250</xdr:colOff>
      <xdr:row>41</xdr:row>
      <xdr:rowOff>95250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 txBox="1"/>
      </xdr:nvSpPr>
      <xdr:spPr>
        <a:xfrm>
          <a:off x="514350" y="7658100"/>
          <a:ext cx="142113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 i="0">
              <a:solidFill>
                <a:srgbClr val="1E3932"/>
              </a:solidFill>
              <a:latin typeface="Segoe UI"/>
              <a:cs typeface="Segoe UI"/>
            </a:rPr>
            <a:t>Sustainability record (UN SDG linkage)</a:t>
          </a:r>
        </a:p>
      </xdr:txBody>
    </xdr:sp>
    <xdr:clientData/>
  </xdr:twoCellAnchor>
  <xdr:twoCellAnchor editAs="absolute">
    <xdr:from>
      <xdr:col>0</xdr:col>
      <xdr:colOff>514350</xdr:colOff>
      <xdr:row>41</xdr:row>
      <xdr:rowOff>95250</xdr:rowOff>
    </xdr:from>
    <xdr:to>
      <xdr:col>24</xdr:col>
      <xdr:colOff>95250</xdr:colOff>
      <xdr:row>42</xdr:row>
      <xdr:rowOff>95250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 txBox="1"/>
      </xdr:nvSpPr>
      <xdr:spPr>
        <a:xfrm>
          <a:off x="514350" y="7905750"/>
          <a:ext cx="142113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0" i="0">
              <a:solidFill>
                <a:srgbClr val="6B7A74"/>
              </a:solidFill>
              <a:latin typeface="Segoe UI"/>
              <a:cs typeface="Segoe UI"/>
            </a:rPr>
            <a:t>Mixed units, so shown as a table not a chart · Starbucks (2025b; 2025c)</a:t>
          </a:r>
        </a:p>
      </xdr:txBody>
    </xdr:sp>
    <xdr:clientData/>
  </xdr:twoCellAnchor>
  <xdr:twoCellAnchor editAs="absolute">
    <xdr:from>
      <xdr:col>0</xdr:col>
      <xdr:colOff>495300</xdr:colOff>
      <xdr:row>42</xdr:row>
      <xdr:rowOff>171450</xdr:rowOff>
    </xdr:from>
    <xdr:to>
      <xdr:col>2</xdr:col>
      <xdr:colOff>104775</xdr:colOff>
      <xdr:row>44</xdr:row>
      <xdr:rowOff>85725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 txBox="1"/>
      </xdr:nvSpPr>
      <xdr:spPr>
        <a:xfrm>
          <a:off x="495300" y="8172450"/>
          <a:ext cx="82867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1" i="0">
              <a:solidFill>
                <a:srgbClr val="6B7A74"/>
              </a:solidFill>
              <a:latin typeface="Segoe UI"/>
              <a:cs typeface="Segoe UI"/>
            </a:rPr>
            <a:t>SDG</a:t>
          </a:r>
        </a:p>
      </xdr:txBody>
    </xdr:sp>
    <xdr:clientData/>
  </xdr:twoCellAnchor>
  <xdr:twoCellAnchor editAs="absolute">
    <xdr:from>
      <xdr:col>2</xdr:col>
      <xdr:colOff>133350</xdr:colOff>
      <xdr:row>42</xdr:row>
      <xdr:rowOff>171450</xdr:rowOff>
    </xdr:from>
    <xdr:to>
      <xdr:col>3</xdr:col>
      <xdr:colOff>542925</xdr:colOff>
      <xdr:row>44</xdr:row>
      <xdr:rowOff>85725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 txBox="1"/>
      </xdr:nvSpPr>
      <xdr:spPr>
        <a:xfrm>
          <a:off x="1352550" y="8172450"/>
          <a:ext cx="101917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6B7A74"/>
              </a:solidFill>
              <a:latin typeface="Segoe UI"/>
              <a:cs typeface="Segoe UI"/>
            </a:rPr>
            <a:t>Target</a:t>
          </a:r>
        </a:p>
      </xdr:txBody>
    </xdr:sp>
    <xdr:clientData/>
  </xdr:twoCellAnchor>
  <xdr:twoCellAnchor editAs="absolute">
    <xdr:from>
      <xdr:col>3</xdr:col>
      <xdr:colOff>571500</xdr:colOff>
      <xdr:row>42</xdr:row>
      <xdr:rowOff>171450</xdr:rowOff>
    </xdr:from>
    <xdr:to>
      <xdr:col>11</xdr:col>
      <xdr:colOff>142875</xdr:colOff>
      <xdr:row>44</xdr:row>
      <xdr:rowOff>85725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 txBox="1"/>
      </xdr:nvSpPr>
      <xdr:spPr>
        <a:xfrm>
          <a:off x="2400300" y="8172450"/>
          <a:ext cx="444817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1" i="0">
              <a:solidFill>
                <a:srgbClr val="6B7A74"/>
              </a:solidFill>
              <a:latin typeface="Segoe UI"/>
              <a:cs typeface="Segoe UI"/>
            </a:rPr>
            <a:t>Starbucks metric</a:t>
          </a:r>
        </a:p>
      </xdr:txBody>
    </xdr:sp>
    <xdr:clientData/>
  </xdr:twoCellAnchor>
  <xdr:twoCellAnchor editAs="absolute">
    <xdr:from>
      <xdr:col>11</xdr:col>
      <xdr:colOff>171450</xdr:colOff>
      <xdr:row>42</xdr:row>
      <xdr:rowOff>171450</xdr:rowOff>
    </xdr:from>
    <xdr:to>
      <xdr:col>19</xdr:col>
      <xdr:colOff>600075</xdr:colOff>
      <xdr:row>44</xdr:row>
      <xdr:rowOff>85725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 txBox="1"/>
      </xdr:nvSpPr>
      <xdr:spPr>
        <a:xfrm>
          <a:off x="6877050" y="8172450"/>
          <a:ext cx="530542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1" i="0">
              <a:solidFill>
                <a:srgbClr val="6B7A74"/>
              </a:solidFill>
              <a:latin typeface="Segoe UI"/>
              <a:cs typeface="Segoe UI"/>
            </a:rPr>
            <a:t>Value</a:t>
          </a:r>
        </a:p>
      </xdr:txBody>
    </xdr:sp>
    <xdr:clientData/>
  </xdr:twoCellAnchor>
  <xdr:twoCellAnchor editAs="absolute">
    <xdr:from>
      <xdr:col>20</xdr:col>
      <xdr:colOff>19050</xdr:colOff>
      <xdr:row>42</xdr:row>
      <xdr:rowOff>171450</xdr:rowOff>
    </xdr:from>
    <xdr:to>
      <xdr:col>23</xdr:col>
      <xdr:colOff>352425</xdr:colOff>
      <xdr:row>44</xdr:row>
      <xdr:rowOff>85725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 txBox="1"/>
      </xdr:nvSpPr>
      <xdr:spPr>
        <a:xfrm>
          <a:off x="12211050" y="8172450"/>
          <a:ext cx="216217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6B7A74"/>
              </a:solidFill>
              <a:latin typeface="Segoe UI"/>
              <a:cs typeface="Segoe UI"/>
            </a:rPr>
            <a:t>Source</a:t>
          </a:r>
        </a:p>
      </xdr:txBody>
    </xdr:sp>
    <xdr:clientData/>
  </xdr:twoCellAnchor>
  <xdr:twoCellAnchor editAs="absolute">
    <xdr:from>
      <xdr:col>0</xdr:col>
      <xdr:colOff>495300</xdr:colOff>
      <xdr:row>44</xdr:row>
      <xdr:rowOff>114300</xdr:rowOff>
    </xdr:from>
    <xdr:to>
      <xdr:col>2</xdr:col>
      <xdr:colOff>104775</xdr:colOff>
      <xdr:row>46</xdr:row>
      <xdr:rowOff>28575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 txBox="1"/>
      </xdr:nvSpPr>
      <xdr:spPr>
        <a:xfrm>
          <a:off x="495300" y="8496300"/>
          <a:ext cx="82867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1" i="0">
              <a:solidFill>
                <a:srgbClr val="1E2A26"/>
              </a:solidFill>
              <a:latin typeface="Segoe UI"/>
              <a:cs typeface="Segoe UI"/>
            </a:rPr>
            <a:t>SDG 8</a:t>
          </a:r>
        </a:p>
      </xdr:txBody>
    </xdr:sp>
    <xdr:clientData/>
  </xdr:twoCellAnchor>
  <xdr:twoCellAnchor editAs="absolute">
    <xdr:from>
      <xdr:col>2</xdr:col>
      <xdr:colOff>133350</xdr:colOff>
      <xdr:row>44</xdr:row>
      <xdr:rowOff>114300</xdr:rowOff>
    </xdr:from>
    <xdr:to>
      <xdr:col>3</xdr:col>
      <xdr:colOff>542925</xdr:colOff>
      <xdr:row>46</xdr:row>
      <xdr:rowOff>28575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 txBox="1"/>
      </xdr:nvSpPr>
      <xdr:spPr>
        <a:xfrm>
          <a:off x="1352550" y="8496300"/>
          <a:ext cx="101917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0" i="0">
              <a:solidFill>
                <a:srgbClr val="1E2A26"/>
              </a:solidFill>
              <a:latin typeface="Segoe UI"/>
              <a:cs typeface="Segoe UI"/>
            </a:rPr>
            <a:t>8.5, 8.6</a:t>
          </a:r>
        </a:p>
      </xdr:txBody>
    </xdr:sp>
    <xdr:clientData/>
  </xdr:twoCellAnchor>
  <xdr:twoCellAnchor editAs="absolute">
    <xdr:from>
      <xdr:col>3</xdr:col>
      <xdr:colOff>571500</xdr:colOff>
      <xdr:row>44</xdr:row>
      <xdr:rowOff>114300</xdr:rowOff>
    </xdr:from>
    <xdr:to>
      <xdr:col>11</xdr:col>
      <xdr:colOff>142875</xdr:colOff>
      <xdr:row>46</xdr:row>
      <xdr:rowOff>28575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 txBox="1"/>
      </xdr:nvSpPr>
      <xdr:spPr>
        <a:xfrm>
          <a:off x="2400300" y="8496300"/>
          <a:ext cx="444817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0" i="0">
              <a:solidFill>
                <a:srgbClr val="1E2A26"/>
              </a:solidFill>
              <a:latin typeface="Segoe UI"/>
              <a:cs typeface="Segoe UI"/>
            </a:rPr>
            <a:t>Bean Stock recipients</a:t>
          </a:r>
        </a:p>
      </xdr:txBody>
    </xdr:sp>
    <xdr:clientData/>
  </xdr:twoCellAnchor>
  <xdr:twoCellAnchor editAs="absolute">
    <xdr:from>
      <xdr:col>11</xdr:col>
      <xdr:colOff>171450</xdr:colOff>
      <xdr:row>44</xdr:row>
      <xdr:rowOff>114300</xdr:rowOff>
    </xdr:from>
    <xdr:to>
      <xdr:col>19</xdr:col>
      <xdr:colOff>600075</xdr:colOff>
      <xdr:row>46</xdr:row>
      <xdr:rowOff>28575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 txBox="1"/>
      </xdr:nvSpPr>
      <xdr:spPr>
        <a:xfrm>
          <a:off x="6877050" y="8496300"/>
          <a:ext cx="530542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0" i="0">
              <a:solidFill>
                <a:srgbClr val="1E2A26"/>
              </a:solidFill>
              <a:latin typeface="Segoe UI"/>
              <a:cs typeface="Segoe UI"/>
            </a:rPr>
            <a:t>230,000+ partners (2024)</a:t>
          </a:r>
        </a:p>
      </xdr:txBody>
    </xdr:sp>
    <xdr:clientData/>
  </xdr:twoCellAnchor>
  <xdr:twoCellAnchor editAs="absolute">
    <xdr:from>
      <xdr:col>20</xdr:col>
      <xdr:colOff>19050</xdr:colOff>
      <xdr:row>44</xdr:row>
      <xdr:rowOff>114300</xdr:rowOff>
    </xdr:from>
    <xdr:to>
      <xdr:col>23</xdr:col>
      <xdr:colOff>352425</xdr:colOff>
      <xdr:row>46</xdr:row>
      <xdr:rowOff>28575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 txBox="1"/>
      </xdr:nvSpPr>
      <xdr:spPr>
        <a:xfrm>
          <a:off x="12211050" y="8496300"/>
          <a:ext cx="216217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0" i="0">
              <a:solidFill>
                <a:srgbClr val="1E2A26"/>
              </a:solidFill>
              <a:latin typeface="Segoe UI"/>
              <a:cs typeface="Segoe UI"/>
            </a:rPr>
            <a:t>Starbucks (2025b)</a:t>
          </a:r>
        </a:p>
      </xdr:txBody>
    </xdr:sp>
    <xdr:clientData/>
  </xdr:twoCellAnchor>
  <xdr:twoCellAnchor editAs="absolute">
    <xdr:from>
      <xdr:col>0</xdr:col>
      <xdr:colOff>495300</xdr:colOff>
      <xdr:row>46</xdr:row>
      <xdr:rowOff>57150</xdr:rowOff>
    </xdr:from>
    <xdr:to>
      <xdr:col>2</xdr:col>
      <xdr:colOff>104775</xdr:colOff>
      <xdr:row>47</xdr:row>
      <xdr:rowOff>161925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 txBox="1"/>
      </xdr:nvSpPr>
      <xdr:spPr>
        <a:xfrm>
          <a:off x="495300" y="8820150"/>
          <a:ext cx="82867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1" i="0">
              <a:solidFill>
                <a:srgbClr val="1E2A26"/>
              </a:solidFill>
              <a:latin typeface="Segoe UI"/>
              <a:cs typeface="Segoe UI"/>
            </a:rPr>
            <a:t>SDG 8</a:t>
          </a:r>
        </a:p>
      </xdr:txBody>
    </xdr:sp>
    <xdr:clientData/>
  </xdr:twoCellAnchor>
  <xdr:twoCellAnchor editAs="absolute">
    <xdr:from>
      <xdr:col>2</xdr:col>
      <xdr:colOff>133350</xdr:colOff>
      <xdr:row>46</xdr:row>
      <xdr:rowOff>57150</xdr:rowOff>
    </xdr:from>
    <xdr:to>
      <xdr:col>3</xdr:col>
      <xdr:colOff>542925</xdr:colOff>
      <xdr:row>47</xdr:row>
      <xdr:rowOff>161925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 txBox="1"/>
      </xdr:nvSpPr>
      <xdr:spPr>
        <a:xfrm>
          <a:off x="1352550" y="8820150"/>
          <a:ext cx="101917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0" i="0">
              <a:solidFill>
                <a:srgbClr val="1E2A26"/>
              </a:solidFill>
              <a:latin typeface="Segoe UI"/>
              <a:cs typeface="Segoe UI"/>
            </a:rPr>
            <a:t>8.5, 8.6</a:t>
          </a:r>
        </a:p>
      </xdr:txBody>
    </xdr:sp>
    <xdr:clientData/>
  </xdr:twoCellAnchor>
  <xdr:twoCellAnchor editAs="absolute">
    <xdr:from>
      <xdr:col>3</xdr:col>
      <xdr:colOff>571500</xdr:colOff>
      <xdr:row>46</xdr:row>
      <xdr:rowOff>57150</xdr:rowOff>
    </xdr:from>
    <xdr:to>
      <xdr:col>11</xdr:col>
      <xdr:colOff>142875</xdr:colOff>
      <xdr:row>47</xdr:row>
      <xdr:rowOff>161925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 txBox="1"/>
      </xdr:nvSpPr>
      <xdr:spPr>
        <a:xfrm>
          <a:off x="2400300" y="8820150"/>
          <a:ext cx="444817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0" i="0">
              <a:solidFill>
                <a:srgbClr val="1E2A26"/>
              </a:solidFill>
              <a:latin typeface="Segoe UI"/>
              <a:cs typeface="Segoe UI"/>
            </a:rPr>
            <a:t>Green Apron training</a:t>
          </a:r>
        </a:p>
      </xdr:txBody>
    </xdr:sp>
    <xdr:clientData/>
  </xdr:twoCellAnchor>
  <xdr:twoCellAnchor editAs="absolute">
    <xdr:from>
      <xdr:col>11</xdr:col>
      <xdr:colOff>171450</xdr:colOff>
      <xdr:row>46</xdr:row>
      <xdr:rowOff>57150</xdr:rowOff>
    </xdr:from>
    <xdr:to>
      <xdr:col>19</xdr:col>
      <xdr:colOff>600075</xdr:colOff>
      <xdr:row>47</xdr:row>
      <xdr:rowOff>161925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 txBox="1"/>
      </xdr:nvSpPr>
      <xdr:spPr>
        <a:xfrm>
          <a:off x="6877050" y="8820150"/>
          <a:ext cx="530542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0" i="0">
              <a:solidFill>
                <a:srgbClr val="1E2A26"/>
              </a:solidFill>
              <a:latin typeface="Segoe UI"/>
              <a:cs typeface="Segoe UI"/>
            </a:rPr>
            <a:t>US$500m invested in partner labour hours</a:t>
          </a:r>
        </a:p>
      </xdr:txBody>
    </xdr:sp>
    <xdr:clientData/>
  </xdr:twoCellAnchor>
  <xdr:twoCellAnchor editAs="absolute">
    <xdr:from>
      <xdr:col>20</xdr:col>
      <xdr:colOff>19050</xdr:colOff>
      <xdr:row>46</xdr:row>
      <xdr:rowOff>57150</xdr:rowOff>
    </xdr:from>
    <xdr:to>
      <xdr:col>23</xdr:col>
      <xdr:colOff>352425</xdr:colOff>
      <xdr:row>47</xdr:row>
      <xdr:rowOff>161925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 txBox="1"/>
      </xdr:nvSpPr>
      <xdr:spPr>
        <a:xfrm>
          <a:off x="12211050" y="8820150"/>
          <a:ext cx="216217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0" i="0">
              <a:solidFill>
                <a:srgbClr val="1E2A26"/>
              </a:solidFill>
              <a:latin typeface="Segoe UI"/>
              <a:cs typeface="Segoe UI"/>
            </a:rPr>
            <a:t>Starbucks (2025c)</a:t>
          </a:r>
        </a:p>
      </xdr:txBody>
    </xdr:sp>
    <xdr:clientData/>
  </xdr:twoCellAnchor>
  <xdr:twoCellAnchor editAs="absolute">
    <xdr:from>
      <xdr:col>0</xdr:col>
      <xdr:colOff>495300</xdr:colOff>
      <xdr:row>48</xdr:row>
      <xdr:rowOff>0</xdr:rowOff>
    </xdr:from>
    <xdr:to>
      <xdr:col>2</xdr:col>
      <xdr:colOff>104775</xdr:colOff>
      <xdr:row>49</xdr:row>
      <xdr:rowOff>104775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 txBox="1"/>
      </xdr:nvSpPr>
      <xdr:spPr>
        <a:xfrm>
          <a:off x="495300" y="9144000"/>
          <a:ext cx="82867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1" i="0">
              <a:solidFill>
                <a:srgbClr val="1E2A26"/>
              </a:solidFill>
              <a:latin typeface="Segoe UI"/>
              <a:cs typeface="Segoe UI"/>
            </a:rPr>
            <a:t>SDG 12</a:t>
          </a:r>
        </a:p>
      </xdr:txBody>
    </xdr:sp>
    <xdr:clientData/>
  </xdr:twoCellAnchor>
  <xdr:twoCellAnchor editAs="absolute">
    <xdr:from>
      <xdr:col>2</xdr:col>
      <xdr:colOff>133350</xdr:colOff>
      <xdr:row>48</xdr:row>
      <xdr:rowOff>0</xdr:rowOff>
    </xdr:from>
    <xdr:to>
      <xdr:col>3</xdr:col>
      <xdr:colOff>542925</xdr:colOff>
      <xdr:row>49</xdr:row>
      <xdr:rowOff>104775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 txBox="1"/>
      </xdr:nvSpPr>
      <xdr:spPr>
        <a:xfrm>
          <a:off x="1352550" y="9144000"/>
          <a:ext cx="101917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0" i="0">
              <a:solidFill>
                <a:srgbClr val="1E2A26"/>
              </a:solidFill>
              <a:latin typeface="Segoe UI"/>
              <a:cs typeface="Segoe UI"/>
            </a:rPr>
            <a:t>12.3, 12.5</a:t>
          </a:r>
        </a:p>
      </xdr:txBody>
    </xdr:sp>
    <xdr:clientData/>
  </xdr:twoCellAnchor>
  <xdr:twoCellAnchor editAs="absolute">
    <xdr:from>
      <xdr:col>3</xdr:col>
      <xdr:colOff>571500</xdr:colOff>
      <xdr:row>48</xdr:row>
      <xdr:rowOff>0</xdr:rowOff>
    </xdr:from>
    <xdr:to>
      <xdr:col>11</xdr:col>
      <xdr:colOff>142875</xdr:colOff>
      <xdr:row>49</xdr:row>
      <xdr:rowOff>104775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 txBox="1"/>
      </xdr:nvSpPr>
      <xdr:spPr>
        <a:xfrm>
          <a:off x="2400300" y="9144000"/>
          <a:ext cx="444817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0" i="0">
              <a:solidFill>
                <a:srgbClr val="1E2A26"/>
              </a:solidFill>
              <a:latin typeface="Segoe UI"/>
              <a:cs typeface="Segoe UI"/>
            </a:rPr>
            <a:t>Reusable cup increase</a:t>
          </a:r>
        </a:p>
      </xdr:txBody>
    </xdr:sp>
    <xdr:clientData/>
  </xdr:twoCellAnchor>
  <xdr:twoCellAnchor editAs="absolute">
    <xdr:from>
      <xdr:col>11</xdr:col>
      <xdr:colOff>171450</xdr:colOff>
      <xdr:row>48</xdr:row>
      <xdr:rowOff>0</xdr:rowOff>
    </xdr:from>
    <xdr:to>
      <xdr:col>19</xdr:col>
      <xdr:colOff>600075</xdr:colOff>
      <xdr:row>49</xdr:row>
      <xdr:rowOff>104775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 txBox="1"/>
      </xdr:nvSpPr>
      <xdr:spPr>
        <a:xfrm>
          <a:off x="6877050" y="9144000"/>
          <a:ext cx="530542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0" i="0">
              <a:solidFill>
                <a:srgbClr val="1E2A26"/>
              </a:solidFill>
              <a:latin typeface="Segoe UI"/>
              <a:cs typeface="Segoe UI"/>
            </a:rPr>
            <a:t>+77% when customers sit and stay</a:t>
          </a:r>
        </a:p>
      </xdr:txBody>
    </xdr:sp>
    <xdr:clientData/>
  </xdr:twoCellAnchor>
  <xdr:twoCellAnchor editAs="absolute">
    <xdr:from>
      <xdr:col>20</xdr:col>
      <xdr:colOff>19050</xdr:colOff>
      <xdr:row>48</xdr:row>
      <xdr:rowOff>0</xdr:rowOff>
    </xdr:from>
    <xdr:to>
      <xdr:col>23</xdr:col>
      <xdr:colOff>352425</xdr:colOff>
      <xdr:row>49</xdr:row>
      <xdr:rowOff>104775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 txBox="1"/>
      </xdr:nvSpPr>
      <xdr:spPr>
        <a:xfrm>
          <a:off x="12211050" y="9144000"/>
          <a:ext cx="216217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0" i="0">
              <a:solidFill>
                <a:srgbClr val="1E2A26"/>
              </a:solidFill>
              <a:latin typeface="Segoe UI"/>
              <a:cs typeface="Segoe UI"/>
            </a:rPr>
            <a:t>Starbucks (2025b)</a:t>
          </a:r>
        </a:p>
      </xdr:txBody>
    </xdr:sp>
    <xdr:clientData/>
  </xdr:twoCellAnchor>
  <xdr:twoCellAnchor editAs="absolute">
    <xdr:from>
      <xdr:col>0</xdr:col>
      <xdr:colOff>495300</xdr:colOff>
      <xdr:row>49</xdr:row>
      <xdr:rowOff>133350</xdr:rowOff>
    </xdr:from>
    <xdr:to>
      <xdr:col>2</xdr:col>
      <xdr:colOff>104775</xdr:colOff>
      <xdr:row>51</xdr:row>
      <xdr:rowOff>47625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 txBox="1"/>
      </xdr:nvSpPr>
      <xdr:spPr>
        <a:xfrm>
          <a:off x="495300" y="9467850"/>
          <a:ext cx="82867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1" i="0">
              <a:solidFill>
                <a:srgbClr val="1E2A26"/>
              </a:solidFill>
              <a:latin typeface="Segoe UI"/>
              <a:cs typeface="Segoe UI"/>
            </a:rPr>
            <a:t>SDG 12</a:t>
          </a:r>
        </a:p>
      </xdr:txBody>
    </xdr:sp>
    <xdr:clientData/>
  </xdr:twoCellAnchor>
  <xdr:twoCellAnchor editAs="absolute">
    <xdr:from>
      <xdr:col>2</xdr:col>
      <xdr:colOff>133350</xdr:colOff>
      <xdr:row>49</xdr:row>
      <xdr:rowOff>133350</xdr:rowOff>
    </xdr:from>
    <xdr:to>
      <xdr:col>3</xdr:col>
      <xdr:colOff>542925</xdr:colOff>
      <xdr:row>51</xdr:row>
      <xdr:rowOff>47625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 txBox="1"/>
      </xdr:nvSpPr>
      <xdr:spPr>
        <a:xfrm>
          <a:off x="1352550" y="9467850"/>
          <a:ext cx="101917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0" i="0">
              <a:solidFill>
                <a:srgbClr val="1E2A26"/>
              </a:solidFill>
              <a:latin typeface="Segoe UI"/>
              <a:cs typeface="Segoe UI"/>
            </a:rPr>
            <a:t>12.3, 12.5</a:t>
          </a:r>
        </a:p>
      </xdr:txBody>
    </xdr:sp>
    <xdr:clientData/>
  </xdr:twoCellAnchor>
  <xdr:twoCellAnchor editAs="absolute">
    <xdr:from>
      <xdr:col>3</xdr:col>
      <xdr:colOff>571500</xdr:colOff>
      <xdr:row>49</xdr:row>
      <xdr:rowOff>133350</xdr:rowOff>
    </xdr:from>
    <xdr:to>
      <xdr:col>11</xdr:col>
      <xdr:colOff>142875</xdr:colOff>
      <xdr:row>51</xdr:row>
      <xdr:rowOff>47625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 txBox="1"/>
      </xdr:nvSpPr>
      <xdr:spPr>
        <a:xfrm>
          <a:off x="2400300" y="9467850"/>
          <a:ext cx="444817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0" i="0">
              <a:solidFill>
                <a:srgbClr val="1E2A26"/>
              </a:solidFill>
              <a:latin typeface="Segoe UI"/>
              <a:cs typeface="Segoe UI"/>
            </a:rPr>
            <a:t>Stores verified for energy/water/waste</a:t>
          </a:r>
        </a:p>
      </xdr:txBody>
    </xdr:sp>
    <xdr:clientData/>
  </xdr:twoCellAnchor>
  <xdr:twoCellAnchor editAs="absolute">
    <xdr:from>
      <xdr:col>11</xdr:col>
      <xdr:colOff>171450</xdr:colOff>
      <xdr:row>49</xdr:row>
      <xdr:rowOff>133350</xdr:rowOff>
    </xdr:from>
    <xdr:to>
      <xdr:col>19</xdr:col>
      <xdr:colOff>600075</xdr:colOff>
      <xdr:row>51</xdr:row>
      <xdr:rowOff>47625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 txBox="1"/>
      </xdr:nvSpPr>
      <xdr:spPr>
        <a:xfrm>
          <a:off x="6877050" y="9467850"/>
          <a:ext cx="530542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0" i="0">
              <a:solidFill>
                <a:srgbClr val="1E2A26"/>
              </a:solidFill>
              <a:latin typeface="Segoe UI"/>
              <a:cs typeface="Segoe UI"/>
            </a:rPr>
            <a:t>13,000+ coffeehouses</a:t>
          </a:r>
        </a:p>
      </xdr:txBody>
    </xdr:sp>
    <xdr:clientData/>
  </xdr:twoCellAnchor>
  <xdr:twoCellAnchor editAs="absolute">
    <xdr:from>
      <xdr:col>20</xdr:col>
      <xdr:colOff>19050</xdr:colOff>
      <xdr:row>49</xdr:row>
      <xdr:rowOff>133350</xdr:rowOff>
    </xdr:from>
    <xdr:to>
      <xdr:col>23</xdr:col>
      <xdr:colOff>352425</xdr:colOff>
      <xdr:row>51</xdr:row>
      <xdr:rowOff>47625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 txBox="1"/>
      </xdr:nvSpPr>
      <xdr:spPr>
        <a:xfrm>
          <a:off x="12211050" y="9467850"/>
          <a:ext cx="216217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0" i="0">
              <a:solidFill>
                <a:srgbClr val="1E2A26"/>
              </a:solidFill>
              <a:latin typeface="Segoe UI"/>
              <a:cs typeface="Segoe UI"/>
            </a:rPr>
            <a:t>Starbucks (2025b)</a:t>
          </a:r>
        </a:p>
      </xdr:txBody>
    </xdr:sp>
    <xdr:clientData/>
  </xdr:twoCellAnchor>
  <xdr:twoCellAnchor editAs="absolute">
    <xdr:from>
      <xdr:col>0</xdr:col>
      <xdr:colOff>495300</xdr:colOff>
      <xdr:row>51</xdr:row>
      <xdr:rowOff>76200</xdr:rowOff>
    </xdr:from>
    <xdr:to>
      <xdr:col>2</xdr:col>
      <xdr:colOff>104775</xdr:colOff>
      <xdr:row>53</xdr:row>
      <xdr:rowOff>1518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 txBox="1"/>
      </xdr:nvSpPr>
      <xdr:spPr>
        <a:xfrm>
          <a:off x="495300" y="9791700"/>
          <a:ext cx="82867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1" i="0">
              <a:solidFill>
                <a:srgbClr val="1E2A26"/>
              </a:solidFill>
              <a:latin typeface="Segoe UI"/>
              <a:cs typeface="Segoe UI"/>
            </a:rPr>
            <a:t>SDG 13</a:t>
          </a:r>
        </a:p>
      </xdr:txBody>
    </xdr:sp>
    <xdr:clientData/>
  </xdr:twoCellAnchor>
  <xdr:twoCellAnchor editAs="absolute">
    <xdr:from>
      <xdr:col>2</xdr:col>
      <xdr:colOff>133350</xdr:colOff>
      <xdr:row>51</xdr:row>
      <xdr:rowOff>76200</xdr:rowOff>
    </xdr:from>
    <xdr:to>
      <xdr:col>3</xdr:col>
      <xdr:colOff>542925</xdr:colOff>
      <xdr:row>53</xdr:row>
      <xdr:rowOff>1518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 txBox="1"/>
      </xdr:nvSpPr>
      <xdr:spPr>
        <a:xfrm>
          <a:off x="1352550" y="9791700"/>
          <a:ext cx="101917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0" i="0">
              <a:solidFill>
                <a:srgbClr val="1E2A26"/>
              </a:solidFill>
              <a:latin typeface="Segoe UI"/>
              <a:cs typeface="Segoe UI"/>
            </a:rPr>
            <a:t>13.2, 13.3</a:t>
          </a:r>
        </a:p>
      </xdr:txBody>
    </xdr:sp>
    <xdr:clientData/>
  </xdr:twoCellAnchor>
  <xdr:twoCellAnchor editAs="absolute">
    <xdr:from>
      <xdr:col>3</xdr:col>
      <xdr:colOff>571500</xdr:colOff>
      <xdr:row>51</xdr:row>
      <xdr:rowOff>76200</xdr:rowOff>
    </xdr:from>
    <xdr:to>
      <xdr:col>11</xdr:col>
      <xdr:colOff>142875</xdr:colOff>
      <xdr:row>53</xdr:row>
      <xdr:rowOff>1518</xdr:rowOff>
    </xdr:to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 txBox="1"/>
      </xdr:nvSpPr>
      <xdr:spPr>
        <a:xfrm>
          <a:off x="2400300" y="9791700"/>
          <a:ext cx="444817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0" i="0">
              <a:solidFill>
                <a:srgbClr val="1E2A26"/>
              </a:solidFill>
              <a:latin typeface="Segoe UI"/>
              <a:cs typeface="Segoe UI"/>
            </a:rPr>
            <a:t>Total emissions vs FY2019 baseline</a:t>
          </a:r>
        </a:p>
      </xdr:txBody>
    </xdr:sp>
    <xdr:clientData/>
  </xdr:twoCellAnchor>
  <xdr:twoCellAnchor editAs="absolute">
    <xdr:from>
      <xdr:col>11</xdr:col>
      <xdr:colOff>171450</xdr:colOff>
      <xdr:row>51</xdr:row>
      <xdr:rowOff>76200</xdr:rowOff>
    </xdr:from>
    <xdr:to>
      <xdr:col>19</xdr:col>
      <xdr:colOff>600075</xdr:colOff>
      <xdr:row>53</xdr:row>
      <xdr:rowOff>1518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 txBox="1"/>
      </xdr:nvSpPr>
      <xdr:spPr>
        <a:xfrm>
          <a:off x="6877050" y="9791700"/>
          <a:ext cx="530542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0" i="0">
              <a:solidFill>
                <a:srgbClr val="1E2A26"/>
              </a:solidFill>
              <a:latin typeface="Segoe UI"/>
              <a:cs typeface="Segoe UI"/>
            </a:rPr>
            <a:t>+7% (Scope 1, 2 and 3)</a:t>
          </a:r>
        </a:p>
      </xdr:txBody>
    </xdr:sp>
    <xdr:clientData/>
  </xdr:twoCellAnchor>
  <xdr:twoCellAnchor editAs="absolute">
    <xdr:from>
      <xdr:col>20</xdr:col>
      <xdr:colOff>19050</xdr:colOff>
      <xdr:row>51</xdr:row>
      <xdr:rowOff>76200</xdr:rowOff>
    </xdr:from>
    <xdr:to>
      <xdr:col>23</xdr:col>
      <xdr:colOff>352425</xdr:colOff>
      <xdr:row>53</xdr:row>
      <xdr:rowOff>1518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 txBox="1"/>
      </xdr:nvSpPr>
      <xdr:spPr>
        <a:xfrm>
          <a:off x="12211050" y="9791700"/>
          <a:ext cx="216217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0" i="0">
              <a:solidFill>
                <a:srgbClr val="1E2A26"/>
              </a:solidFill>
              <a:latin typeface="Segoe UI"/>
              <a:cs typeface="Segoe UI"/>
            </a:rPr>
            <a:t>Starbucks (2025b)</a:t>
          </a:r>
        </a:p>
      </xdr:txBody>
    </xdr:sp>
    <xdr:clientData/>
  </xdr:twoCellAnchor>
  <xdr:twoCellAnchor editAs="absolute">
    <xdr:from>
      <xdr:col>0</xdr:col>
      <xdr:colOff>495300</xdr:colOff>
      <xdr:row>53</xdr:row>
      <xdr:rowOff>19050</xdr:rowOff>
    </xdr:from>
    <xdr:to>
      <xdr:col>2</xdr:col>
      <xdr:colOff>104775</xdr:colOff>
      <xdr:row>54</xdr:row>
      <xdr:rowOff>123825</xdr:rowOff>
    </xdr:to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 txBox="1"/>
      </xdr:nvSpPr>
      <xdr:spPr>
        <a:xfrm>
          <a:off x="495300" y="10115550"/>
          <a:ext cx="82867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1" i="0">
              <a:solidFill>
                <a:srgbClr val="1E2A26"/>
              </a:solidFill>
              <a:latin typeface="Segoe UI"/>
              <a:cs typeface="Segoe UI"/>
            </a:rPr>
            <a:t>SDG 13</a:t>
          </a:r>
        </a:p>
      </xdr:txBody>
    </xdr:sp>
    <xdr:clientData/>
  </xdr:twoCellAnchor>
  <xdr:twoCellAnchor editAs="absolute">
    <xdr:from>
      <xdr:col>2</xdr:col>
      <xdr:colOff>133350</xdr:colOff>
      <xdr:row>53</xdr:row>
      <xdr:rowOff>19050</xdr:rowOff>
    </xdr:from>
    <xdr:to>
      <xdr:col>3</xdr:col>
      <xdr:colOff>542925</xdr:colOff>
      <xdr:row>54</xdr:row>
      <xdr:rowOff>123825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 txBox="1"/>
      </xdr:nvSpPr>
      <xdr:spPr>
        <a:xfrm>
          <a:off x="1352550" y="10115550"/>
          <a:ext cx="101917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0" i="0">
              <a:solidFill>
                <a:srgbClr val="1E2A26"/>
              </a:solidFill>
              <a:latin typeface="Segoe UI"/>
              <a:cs typeface="Segoe UI"/>
            </a:rPr>
            <a:t>13.2, 13.3</a:t>
          </a:r>
        </a:p>
      </xdr:txBody>
    </xdr:sp>
    <xdr:clientData/>
  </xdr:twoCellAnchor>
  <xdr:twoCellAnchor editAs="absolute">
    <xdr:from>
      <xdr:col>3</xdr:col>
      <xdr:colOff>571500</xdr:colOff>
      <xdr:row>53</xdr:row>
      <xdr:rowOff>19050</xdr:rowOff>
    </xdr:from>
    <xdr:to>
      <xdr:col>11</xdr:col>
      <xdr:colOff>142875</xdr:colOff>
      <xdr:row>54</xdr:row>
      <xdr:rowOff>123825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 txBox="1"/>
      </xdr:nvSpPr>
      <xdr:spPr>
        <a:xfrm>
          <a:off x="2400300" y="10115550"/>
          <a:ext cx="444817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0" i="0">
              <a:solidFill>
                <a:srgbClr val="1E2A26"/>
              </a:solidFill>
              <a:latin typeface="Segoe UI"/>
              <a:cs typeface="Segoe UI"/>
            </a:rPr>
            <a:t>Scope 1+2 market-based emissions</a:t>
          </a:r>
        </a:p>
      </xdr:txBody>
    </xdr:sp>
    <xdr:clientData/>
  </xdr:twoCellAnchor>
  <xdr:twoCellAnchor editAs="absolute">
    <xdr:from>
      <xdr:col>11</xdr:col>
      <xdr:colOff>171450</xdr:colOff>
      <xdr:row>53</xdr:row>
      <xdr:rowOff>19050</xdr:rowOff>
    </xdr:from>
    <xdr:to>
      <xdr:col>19</xdr:col>
      <xdr:colOff>600075</xdr:colOff>
      <xdr:row>54</xdr:row>
      <xdr:rowOff>123825</xdr:rowOff>
    </xdr:to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 txBox="1"/>
      </xdr:nvSpPr>
      <xdr:spPr>
        <a:xfrm>
          <a:off x="6877050" y="10115550"/>
          <a:ext cx="530542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0" i="0">
              <a:solidFill>
                <a:srgbClr val="1E2A26"/>
              </a:solidFill>
              <a:latin typeface="Segoe UI"/>
              <a:cs typeface="Segoe UI"/>
            </a:rPr>
            <a:t>−17% vs FY2019</a:t>
          </a:r>
        </a:p>
      </xdr:txBody>
    </xdr:sp>
    <xdr:clientData/>
  </xdr:twoCellAnchor>
  <xdr:twoCellAnchor editAs="absolute">
    <xdr:from>
      <xdr:col>20</xdr:col>
      <xdr:colOff>19050</xdr:colOff>
      <xdr:row>53</xdr:row>
      <xdr:rowOff>19050</xdr:rowOff>
    </xdr:from>
    <xdr:to>
      <xdr:col>23</xdr:col>
      <xdr:colOff>352425</xdr:colOff>
      <xdr:row>54</xdr:row>
      <xdr:rowOff>123825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 txBox="1"/>
      </xdr:nvSpPr>
      <xdr:spPr>
        <a:xfrm>
          <a:off x="12211050" y="10115550"/>
          <a:ext cx="216217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0" i="0">
              <a:solidFill>
                <a:srgbClr val="1E2A26"/>
              </a:solidFill>
              <a:latin typeface="Segoe UI"/>
              <a:cs typeface="Segoe UI"/>
            </a:rPr>
            <a:t>Starbucks (2025b)</a:t>
          </a:r>
        </a:p>
      </xdr:txBody>
    </xdr:sp>
    <xdr:clientData/>
  </xdr:twoCellAnchor>
  <xdr:twoCellAnchor editAs="absolute">
    <xdr:from>
      <xdr:col>0</xdr:col>
      <xdr:colOff>495300</xdr:colOff>
      <xdr:row>54</xdr:row>
      <xdr:rowOff>152400</xdr:rowOff>
    </xdr:from>
    <xdr:to>
      <xdr:col>2</xdr:col>
      <xdr:colOff>104775</xdr:colOff>
      <xdr:row>56</xdr:row>
      <xdr:rowOff>66675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 txBox="1"/>
      </xdr:nvSpPr>
      <xdr:spPr>
        <a:xfrm>
          <a:off x="495300" y="10439400"/>
          <a:ext cx="82867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1" i="0">
              <a:solidFill>
                <a:srgbClr val="1E2A26"/>
              </a:solidFill>
              <a:latin typeface="Segoe UI"/>
              <a:cs typeface="Segoe UI"/>
            </a:rPr>
            <a:t>SDG 13</a:t>
          </a:r>
        </a:p>
      </xdr:txBody>
    </xdr:sp>
    <xdr:clientData/>
  </xdr:twoCellAnchor>
  <xdr:twoCellAnchor editAs="absolute">
    <xdr:from>
      <xdr:col>2</xdr:col>
      <xdr:colOff>133350</xdr:colOff>
      <xdr:row>54</xdr:row>
      <xdr:rowOff>152400</xdr:rowOff>
    </xdr:from>
    <xdr:to>
      <xdr:col>3</xdr:col>
      <xdr:colOff>542925</xdr:colOff>
      <xdr:row>56</xdr:row>
      <xdr:rowOff>66675</xdr:rowOff>
    </xdr:to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 txBox="1"/>
      </xdr:nvSpPr>
      <xdr:spPr>
        <a:xfrm>
          <a:off x="1352550" y="10439400"/>
          <a:ext cx="101917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0" i="0">
              <a:solidFill>
                <a:srgbClr val="1E2A26"/>
              </a:solidFill>
              <a:latin typeface="Segoe UI"/>
              <a:cs typeface="Segoe UI"/>
            </a:rPr>
            <a:t>13.2, 13.3</a:t>
          </a:r>
        </a:p>
      </xdr:txBody>
    </xdr:sp>
    <xdr:clientData/>
  </xdr:twoCellAnchor>
  <xdr:twoCellAnchor editAs="absolute">
    <xdr:from>
      <xdr:col>3</xdr:col>
      <xdr:colOff>571500</xdr:colOff>
      <xdr:row>54</xdr:row>
      <xdr:rowOff>152400</xdr:rowOff>
    </xdr:from>
    <xdr:to>
      <xdr:col>11</xdr:col>
      <xdr:colOff>142875</xdr:colOff>
      <xdr:row>56</xdr:row>
      <xdr:rowOff>66675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 txBox="1"/>
      </xdr:nvSpPr>
      <xdr:spPr>
        <a:xfrm>
          <a:off x="2400300" y="10439400"/>
          <a:ext cx="444817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0" i="0">
              <a:solidFill>
                <a:srgbClr val="1E2A26"/>
              </a:solidFill>
              <a:latin typeface="Segoe UI"/>
              <a:cs typeface="Segoe UI"/>
            </a:rPr>
            <a:t>2030 target</a:t>
          </a:r>
        </a:p>
      </xdr:txBody>
    </xdr:sp>
    <xdr:clientData/>
  </xdr:twoCellAnchor>
  <xdr:twoCellAnchor editAs="absolute">
    <xdr:from>
      <xdr:col>11</xdr:col>
      <xdr:colOff>171450</xdr:colOff>
      <xdr:row>54</xdr:row>
      <xdr:rowOff>152400</xdr:rowOff>
    </xdr:from>
    <xdr:to>
      <xdr:col>19</xdr:col>
      <xdr:colOff>600075</xdr:colOff>
      <xdr:row>56</xdr:row>
      <xdr:rowOff>66675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 txBox="1"/>
      </xdr:nvSpPr>
      <xdr:spPr>
        <a:xfrm>
          <a:off x="6877050" y="10439400"/>
          <a:ext cx="530542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0" i="0">
              <a:solidFill>
                <a:srgbClr val="1E2A26"/>
              </a:solidFill>
              <a:latin typeface="Segoe UI"/>
              <a:cs typeface="Segoe UI"/>
            </a:rPr>
            <a:t>50% absolute reduction from FY2019 (under reassessment)</a:t>
          </a:r>
        </a:p>
      </xdr:txBody>
    </xdr:sp>
    <xdr:clientData/>
  </xdr:twoCellAnchor>
  <xdr:twoCellAnchor editAs="absolute">
    <xdr:from>
      <xdr:col>20</xdr:col>
      <xdr:colOff>19050</xdr:colOff>
      <xdr:row>54</xdr:row>
      <xdr:rowOff>152400</xdr:rowOff>
    </xdr:from>
    <xdr:to>
      <xdr:col>23</xdr:col>
      <xdr:colOff>352425</xdr:colOff>
      <xdr:row>56</xdr:row>
      <xdr:rowOff>66675</xdr:rowOff>
    </xdr:to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 txBox="1"/>
      </xdr:nvSpPr>
      <xdr:spPr>
        <a:xfrm>
          <a:off x="12211050" y="10439400"/>
          <a:ext cx="216217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0" i="0">
              <a:solidFill>
                <a:srgbClr val="1E2A26"/>
              </a:solidFill>
              <a:latin typeface="Segoe UI"/>
              <a:cs typeface="Segoe UI"/>
            </a:rPr>
            <a:t>Starbucks (2025b)</a:t>
          </a:r>
        </a:p>
      </xdr:txBody>
    </xdr:sp>
    <xdr:clientData/>
  </xdr:twoCellAnchor>
  <xdr:twoCellAnchor editAs="absolute">
    <xdr:from>
      <xdr:col>0</xdr:col>
      <xdr:colOff>342900</xdr:colOff>
      <xdr:row>57</xdr:row>
      <xdr:rowOff>57150</xdr:rowOff>
    </xdr:from>
    <xdr:to>
      <xdr:col>24</xdr:col>
      <xdr:colOff>266700</xdr:colOff>
      <xdr:row>1048576</xdr:row>
      <xdr:rowOff>57150</xdr:rowOff>
    </xdr:to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 txBox="1"/>
      </xdr:nvSpPr>
      <xdr:spPr>
        <a:xfrm>
          <a:off x="342900" y="10915650"/>
          <a:ext cx="1455420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0" i="1">
              <a:solidFill>
                <a:srgbClr val="6B7A74"/>
              </a:solidFill>
              <a:latin typeface="Segoe UI"/>
              <a:cs typeface="Segoe UI"/>
            </a:rPr>
            <a:t>Starbucks retains a stated 2030 goal of 50% absolute reduction; currently reassessing.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342900</xdr:colOff>
      <xdr:row>21</xdr:row>
      <xdr:rowOff>152400</xdr:rowOff>
    </xdr:from>
    <xdr:to>
      <xdr:col>8</xdr:col>
      <xdr:colOff>228600</xdr:colOff>
      <xdr:row>38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8</xdr:col>
      <xdr:colOff>381000</xdr:colOff>
      <xdr:row>21</xdr:row>
      <xdr:rowOff>152400</xdr:rowOff>
    </xdr:from>
    <xdr:to>
      <xdr:col>16</xdr:col>
      <xdr:colOff>266700</xdr:colOff>
      <xdr:row>38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16</xdr:col>
      <xdr:colOff>419100</xdr:colOff>
      <xdr:row>21</xdr:row>
      <xdr:rowOff>152400</xdr:rowOff>
    </xdr:from>
    <xdr:to>
      <xdr:col>24</xdr:col>
      <xdr:colOff>266700</xdr:colOff>
      <xdr:row>38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0</xdr:col>
      <xdr:colOff>0</xdr:colOff>
      <xdr:row>0</xdr:row>
      <xdr:rowOff>0</xdr:rowOff>
    </xdr:from>
    <xdr:to>
      <xdr:col>25</xdr:col>
      <xdr:colOff>0</xdr:colOff>
      <xdr:row>3</xdr:row>
      <xdr:rowOff>171450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0" y="0"/>
          <a:ext cx="15240000" cy="742950"/>
        </a:xfrm>
        <a:prstGeom prst="rect">
          <a:avLst/>
        </a:prstGeom>
        <a:gradFill>
          <a:gsLst>
            <a:gs pos="0">
              <a:srgbClr val="1E3932"/>
            </a:gs>
            <a:gs pos="100000">
              <a:srgbClr val="2C5A4C"/>
            </a:gs>
          </a:gsLst>
          <a:lin ang="1200000" scaled="0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0</xdr:col>
      <xdr:colOff>342900</xdr:colOff>
      <xdr:row>0</xdr:row>
      <xdr:rowOff>133350</xdr:rowOff>
    </xdr:from>
    <xdr:to>
      <xdr:col>9</xdr:col>
      <xdr:colOff>190500</xdr:colOff>
      <xdr:row>3</xdr:row>
      <xdr:rowOff>38100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342900" y="133350"/>
          <a:ext cx="5334000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800" b="1" i="0">
              <a:solidFill>
                <a:srgbClr val="FFFFFF"/>
              </a:solidFill>
              <a:latin typeface="Segoe UI"/>
              <a:cs typeface="Segoe UI"/>
            </a:rPr>
            <a:t>STARBUCKS NEPAL :</a:t>
          </a:r>
          <a:r>
            <a:rPr lang="en-US" sz="1800" b="1" i="0" baseline="0">
              <a:solidFill>
                <a:srgbClr val="FFFFFF"/>
              </a:solidFill>
              <a:latin typeface="Segoe UI"/>
              <a:cs typeface="Segoe UI"/>
            </a:rPr>
            <a:t> MARKET ENTRY ANALYSIS</a:t>
          </a:r>
          <a:endParaRPr lang="en-US" sz="1800" b="1" i="0">
            <a:solidFill>
              <a:srgbClr val="FFFFFF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11</xdr:col>
      <xdr:colOff>533400</xdr:colOff>
      <xdr:row>1</xdr:row>
      <xdr:rowOff>1058</xdr:rowOff>
    </xdr:from>
    <xdr:to>
      <xdr:col>14</xdr:col>
      <xdr:colOff>133350</xdr:colOff>
      <xdr:row>3</xdr:row>
      <xdr:rowOff>1058</xdr:rowOff>
    </xdr:to>
    <xdr:sp macro="" textlink="">
      <xdr:nvSpPr>
        <xdr:cNvPr id="7" name="TextBox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7239000" y="180975"/>
          <a:ext cx="1428750" cy="381000"/>
        </a:xfrm>
        <a:prstGeom prst="rect">
          <a:avLst/>
        </a:prstGeom>
        <a:noFill/>
        <a:ln w="9525" cmpd="sng">
          <a:solidFill>
            <a:srgbClr val="6F8F8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100" b="1" i="0">
              <a:solidFill>
                <a:srgbClr val="DDE8E3"/>
              </a:solidFill>
              <a:latin typeface="Segoe UI"/>
              <a:cs typeface="Segoe UI"/>
            </a:rPr>
            <a:t>Overview</a:t>
          </a:r>
        </a:p>
      </xdr:txBody>
    </xdr:sp>
    <xdr:clientData/>
  </xdr:twoCellAnchor>
  <xdr:twoCellAnchor editAs="absolute">
    <xdr:from>
      <xdr:col>14</xdr:col>
      <xdr:colOff>228600</xdr:colOff>
      <xdr:row>1</xdr:row>
      <xdr:rowOff>1058</xdr:rowOff>
    </xdr:from>
    <xdr:to>
      <xdr:col>16</xdr:col>
      <xdr:colOff>438150</xdr:colOff>
      <xdr:row>3</xdr:row>
      <xdr:rowOff>1058</xdr:rowOff>
    </xdr:to>
    <xdr:sp macro="" textlink="">
      <xdr:nvSpPr>
        <xdr:cNvPr id="8" name="TextBox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8763000" y="180975"/>
          <a:ext cx="1428750" cy="381000"/>
        </a:xfrm>
        <a:prstGeom prst="rect">
          <a:avLst/>
        </a:prstGeom>
        <a:noFill/>
        <a:ln w="9525" cmpd="sng">
          <a:solidFill>
            <a:srgbClr val="6F8F8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100" b="1" i="0">
              <a:solidFill>
                <a:srgbClr val="DDE8E3"/>
              </a:solidFill>
              <a:latin typeface="Segoe UI"/>
              <a:cs typeface="Segoe UI"/>
            </a:rPr>
            <a:t>Starbucks</a:t>
          </a:r>
        </a:p>
      </xdr:txBody>
    </xdr:sp>
    <xdr:clientData/>
  </xdr:twoCellAnchor>
  <xdr:twoCellAnchor editAs="absolute">
    <xdr:from>
      <xdr:col>16</xdr:col>
      <xdr:colOff>533400</xdr:colOff>
      <xdr:row>1</xdr:row>
      <xdr:rowOff>1058</xdr:rowOff>
    </xdr:from>
    <xdr:to>
      <xdr:col>19</xdr:col>
      <xdr:colOff>133350</xdr:colOff>
      <xdr:row>3</xdr:row>
      <xdr:rowOff>1058</xdr:rowOff>
    </xdr:to>
    <xdr:sp macro="" textlink="">
      <xdr:nvSpPr>
        <xdr:cNvPr id="9" name="TextBox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10287000" y="180975"/>
          <a:ext cx="1428750" cy="381000"/>
        </a:xfrm>
        <a:prstGeom prst="rect">
          <a:avLst/>
        </a:prstGeom>
        <a:solidFill>
          <a:srgbClr val="CBA258"/>
        </a:solidFill>
        <a:ln w="9525" cmpd="sng">
          <a:solidFill>
            <a:srgbClr val="CBA258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100" b="1" i="0">
              <a:solidFill>
                <a:srgbClr val="1E3932"/>
              </a:solidFill>
              <a:latin typeface="Segoe UI"/>
              <a:cs typeface="Segoe UI"/>
            </a:rPr>
            <a:t>Nepal</a:t>
          </a:r>
        </a:p>
      </xdr:txBody>
    </xdr:sp>
    <xdr:clientData/>
  </xdr:twoCellAnchor>
  <xdr:twoCellAnchor editAs="absolute">
    <xdr:from>
      <xdr:col>19</xdr:col>
      <xdr:colOff>228600</xdr:colOff>
      <xdr:row>1</xdr:row>
      <xdr:rowOff>1058</xdr:rowOff>
    </xdr:from>
    <xdr:to>
      <xdr:col>21</xdr:col>
      <xdr:colOff>438150</xdr:colOff>
      <xdr:row>3</xdr:row>
      <xdr:rowOff>1058</xdr:rowOff>
    </xdr:to>
    <xdr:sp macro="" textlink="">
      <xdr:nvSpPr>
        <xdr:cNvPr id="10" name="TextBox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11811000" y="180975"/>
          <a:ext cx="1428750" cy="381000"/>
        </a:xfrm>
        <a:prstGeom prst="rect">
          <a:avLst/>
        </a:prstGeom>
        <a:noFill/>
        <a:ln w="9525" cmpd="sng">
          <a:solidFill>
            <a:srgbClr val="6F8F8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100" b="1" i="0">
              <a:solidFill>
                <a:srgbClr val="DDE8E3"/>
              </a:solidFill>
              <a:latin typeface="Segoe UI"/>
              <a:cs typeface="Segoe UI"/>
            </a:rPr>
            <a:t>Strategy</a:t>
          </a:r>
        </a:p>
      </xdr:txBody>
    </xdr:sp>
    <xdr:clientData/>
  </xdr:twoCellAnchor>
  <xdr:twoCellAnchor editAs="absolute">
    <xdr:from>
      <xdr:col>21</xdr:col>
      <xdr:colOff>533400</xdr:colOff>
      <xdr:row>1</xdr:row>
      <xdr:rowOff>1058</xdr:rowOff>
    </xdr:from>
    <xdr:to>
      <xdr:col>24</xdr:col>
      <xdr:colOff>133350</xdr:colOff>
      <xdr:row>3</xdr:row>
      <xdr:rowOff>1058</xdr:rowOff>
    </xdr:to>
    <xdr:sp macro="" textlink="">
      <xdr:nvSpPr>
        <xdr:cNvPr id="11" name="TextBox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13335000" y="180975"/>
          <a:ext cx="1428750" cy="381000"/>
        </a:xfrm>
        <a:prstGeom prst="rect">
          <a:avLst/>
        </a:prstGeom>
        <a:noFill/>
        <a:ln w="9525" cmpd="sng">
          <a:solidFill>
            <a:srgbClr val="6F8F8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100" b="1" i="0">
              <a:solidFill>
                <a:srgbClr val="DDE8E3"/>
              </a:solidFill>
              <a:latin typeface="Segoe UI"/>
              <a:cs typeface="Segoe UI"/>
            </a:rPr>
            <a:t>Sources</a:t>
          </a:r>
        </a:p>
      </xdr:txBody>
    </xdr:sp>
    <xdr:clientData/>
  </xdr:twoCellAnchor>
  <xdr:twoCellAnchor editAs="absolute">
    <xdr:from>
      <xdr:col>0</xdr:col>
      <xdr:colOff>342900</xdr:colOff>
      <xdr:row>4</xdr:row>
      <xdr:rowOff>152400</xdr:rowOff>
    </xdr:from>
    <xdr:to>
      <xdr:col>13</xdr:col>
      <xdr:colOff>38100</xdr:colOff>
      <xdr:row>6</xdr:row>
      <xdr:rowOff>152400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342900" y="914400"/>
          <a:ext cx="762000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2600" b="1" i="0">
              <a:solidFill>
                <a:srgbClr val="1E3932"/>
              </a:solidFill>
              <a:latin typeface="Segoe UI"/>
              <a:cs typeface="Segoe UI"/>
            </a:rPr>
            <a:t>Nepal</a:t>
          </a:r>
        </a:p>
      </xdr:txBody>
    </xdr:sp>
    <xdr:clientData/>
  </xdr:twoCellAnchor>
  <xdr:twoCellAnchor editAs="absolute">
    <xdr:from>
      <xdr:col>0</xdr:col>
      <xdr:colOff>342900</xdr:colOff>
      <xdr:row>6</xdr:row>
      <xdr:rowOff>171450</xdr:rowOff>
    </xdr:from>
    <xdr:to>
      <xdr:col>24</xdr:col>
      <xdr:colOff>0</xdr:colOff>
      <xdr:row>8</xdr:row>
      <xdr:rowOff>57150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342900" y="1314450"/>
          <a:ext cx="142875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 b="0" i="0">
              <a:solidFill>
                <a:srgbClr val="6B7A74"/>
              </a:solidFill>
              <a:latin typeface="Segoe UI"/>
              <a:cs typeface="Segoe UI"/>
            </a:rPr>
            <a:t>Macroeconomic backdrop, coffee market, cultural distance and the affordability test</a:t>
          </a:r>
        </a:p>
      </xdr:txBody>
    </xdr:sp>
    <xdr:clientData/>
  </xdr:twoCellAnchor>
  <xdr:twoCellAnchor editAs="absolute">
    <xdr:from>
      <xdr:col>0</xdr:col>
      <xdr:colOff>342900</xdr:colOff>
      <xdr:row>9</xdr:row>
      <xdr:rowOff>0</xdr:rowOff>
    </xdr:from>
    <xdr:to>
      <xdr:col>6</xdr:col>
      <xdr:colOff>228600</xdr:colOff>
      <xdr:row>14</xdr:row>
      <xdr:rowOff>114300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/>
      </xdr:nvSpPr>
      <xdr:spPr>
        <a:xfrm>
          <a:off x="342900" y="1714500"/>
          <a:ext cx="3543300" cy="1066800"/>
        </a:xfrm>
        <a:prstGeom prst="rect">
          <a:avLst/>
        </a:prstGeom>
        <a:solidFill>
          <a:srgbClr val="FFFFFF"/>
        </a:solidFill>
        <a:ln w="9525" cmpd="sng">
          <a:solidFill>
            <a:srgbClr val="E3DED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0</xdr:col>
      <xdr:colOff>342900</xdr:colOff>
      <xdr:row>9</xdr:row>
      <xdr:rowOff>0</xdr:rowOff>
    </xdr:from>
    <xdr:to>
      <xdr:col>0</xdr:col>
      <xdr:colOff>409575</xdr:colOff>
      <xdr:row>14</xdr:row>
      <xdr:rowOff>114300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/>
      </xdr:nvSpPr>
      <xdr:spPr>
        <a:xfrm>
          <a:off x="342900" y="1714500"/>
          <a:ext cx="66675" cy="1066800"/>
        </a:xfrm>
        <a:prstGeom prst="rect">
          <a:avLst/>
        </a:prstGeom>
        <a:solidFill>
          <a:srgbClr val="CBA258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0</xdr:col>
      <xdr:colOff>533400</xdr:colOff>
      <xdr:row>9</xdr:row>
      <xdr:rowOff>76200</xdr:rowOff>
    </xdr:from>
    <xdr:to>
      <xdr:col>6</xdr:col>
      <xdr:colOff>133350</xdr:colOff>
      <xdr:row>10</xdr:row>
      <xdr:rowOff>114300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533400" y="1790700"/>
          <a:ext cx="325755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 b="0" i="0">
              <a:solidFill>
                <a:srgbClr val="6B7A74"/>
              </a:solidFill>
              <a:latin typeface="Segoe UI"/>
              <a:cs typeface="Segoe UI"/>
            </a:rPr>
            <a:t>Population (2025)</a:t>
          </a:r>
        </a:p>
      </xdr:txBody>
    </xdr:sp>
    <xdr:clientData/>
  </xdr:twoCellAnchor>
  <xdr:twoCellAnchor editAs="absolute">
    <xdr:from>
      <xdr:col>0</xdr:col>
      <xdr:colOff>533400</xdr:colOff>
      <xdr:row>10</xdr:row>
      <xdr:rowOff>95250</xdr:rowOff>
    </xdr:from>
    <xdr:to>
      <xdr:col>6</xdr:col>
      <xdr:colOff>133350</xdr:colOff>
      <xdr:row>12</xdr:row>
      <xdr:rowOff>171450</xdr:rowOff>
    </xdr:to>
    <xdr:sp macro="" textlink="_calc!$B$6">
      <xdr:nvSpPr>
        <xdr:cNvPr id="17" name="TextBox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/>
      </xdr:nvSpPr>
      <xdr:spPr>
        <a:xfrm>
          <a:off x="533400" y="2000250"/>
          <a:ext cx="3257550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fld id="{B8ADDEFE-BF52-4FD4-8C5D-6B85EF6FF707}" type="TxLink">
            <a:rPr lang="en-US" sz="2600" b="1" i="0">
              <a:solidFill>
                <a:srgbClr val="1E3932"/>
              </a:solidFill>
              <a:latin typeface="Segoe UI"/>
              <a:cs typeface="Segoe UI"/>
            </a:rPr>
            <a:pPr/>
            <a:t>29.6m</a:t>
          </a:fld>
          <a:endParaRPr lang="en-US" sz="2600" b="1" i="0">
            <a:solidFill>
              <a:srgbClr val="1E3932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0</xdr:col>
      <xdr:colOff>533400</xdr:colOff>
      <xdr:row>13</xdr:row>
      <xdr:rowOff>0</xdr:rowOff>
    </xdr:from>
    <xdr:to>
      <xdr:col>6</xdr:col>
      <xdr:colOff>133350</xdr:colOff>
      <xdr:row>14</xdr:row>
      <xdr:rowOff>38100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 txBox="1"/>
      </xdr:nvSpPr>
      <xdr:spPr>
        <a:xfrm>
          <a:off x="533400" y="2476500"/>
          <a:ext cx="325755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900" b="0" i="0">
              <a:solidFill>
                <a:srgbClr val="6B7A74"/>
              </a:solidFill>
              <a:latin typeface="Segoe UI"/>
              <a:cs typeface="Segoe UI"/>
            </a:rPr>
            <a:t>World Bank (2025)</a:t>
          </a:r>
        </a:p>
      </xdr:txBody>
    </xdr:sp>
    <xdr:clientData/>
  </xdr:twoCellAnchor>
  <xdr:twoCellAnchor editAs="absolute">
    <xdr:from>
      <xdr:col>6</xdr:col>
      <xdr:colOff>381000</xdr:colOff>
      <xdr:row>9</xdr:row>
      <xdr:rowOff>0</xdr:rowOff>
    </xdr:from>
    <xdr:to>
      <xdr:col>12</xdr:col>
      <xdr:colOff>266700</xdr:colOff>
      <xdr:row>14</xdr:row>
      <xdr:rowOff>114300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/>
      </xdr:nvSpPr>
      <xdr:spPr>
        <a:xfrm>
          <a:off x="4038600" y="1714500"/>
          <a:ext cx="3543300" cy="1066800"/>
        </a:xfrm>
        <a:prstGeom prst="rect">
          <a:avLst/>
        </a:prstGeom>
        <a:solidFill>
          <a:srgbClr val="FFFFFF"/>
        </a:solidFill>
        <a:ln w="9525" cmpd="sng">
          <a:solidFill>
            <a:srgbClr val="E3DED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6</xdr:col>
      <xdr:colOff>381000</xdr:colOff>
      <xdr:row>9</xdr:row>
      <xdr:rowOff>0</xdr:rowOff>
    </xdr:from>
    <xdr:to>
      <xdr:col>6</xdr:col>
      <xdr:colOff>447675</xdr:colOff>
      <xdr:row>14</xdr:row>
      <xdr:rowOff>114300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/>
      </xdr:nvSpPr>
      <xdr:spPr>
        <a:xfrm>
          <a:off x="4038600" y="1714500"/>
          <a:ext cx="66675" cy="1066800"/>
        </a:xfrm>
        <a:prstGeom prst="rect">
          <a:avLst/>
        </a:prstGeom>
        <a:solidFill>
          <a:srgbClr val="CBA258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6</xdr:col>
      <xdr:colOff>571500</xdr:colOff>
      <xdr:row>9</xdr:row>
      <xdr:rowOff>76200</xdr:rowOff>
    </xdr:from>
    <xdr:to>
      <xdr:col>12</xdr:col>
      <xdr:colOff>171450</xdr:colOff>
      <xdr:row>10</xdr:row>
      <xdr:rowOff>114300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 txBox="1"/>
      </xdr:nvSpPr>
      <xdr:spPr>
        <a:xfrm>
          <a:off x="4229100" y="1790700"/>
          <a:ext cx="325755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 b="0" i="0">
              <a:solidFill>
                <a:srgbClr val="6B7A74"/>
              </a:solidFill>
              <a:latin typeface="Segoe UI"/>
              <a:cs typeface="Segoe UI"/>
            </a:rPr>
            <a:t>GDP per capita (2025)</a:t>
          </a:r>
        </a:p>
      </xdr:txBody>
    </xdr:sp>
    <xdr:clientData/>
  </xdr:twoCellAnchor>
  <xdr:twoCellAnchor editAs="absolute">
    <xdr:from>
      <xdr:col>6</xdr:col>
      <xdr:colOff>571500</xdr:colOff>
      <xdr:row>10</xdr:row>
      <xdr:rowOff>95250</xdr:rowOff>
    </xdr:from>
    <xdr:to>
      <xdr:col>12</xdr:col>
      <xdr:colOff>171450</xdr:colOff>
      <xdr:row>12</xdr:row>
      <xdr:rowOff>171450</xdr:rowOff>
    </xdr:to>
    <xdr:sp macro="" textlink="_calc!$B$7">
      <xdr:nvSpPr>
        <xdr:cNvPr id="22" name="TextBox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 txBox="1"/>
      </xdr:nvSpPr>
      <xdr:spPr>
        <a:xfrm>
          <a:off x="4229100" y="2000250"/>
          <a:ext cx="3257550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fld id="{B8ADDEFE-BF52-4FD4-8C5D-6B85EF6FF707}" type="TxLink">
            <a:rPr lang="en-US" sz="2600" b="1" i="0">
              <a:solidFill>
                <a:srgbClr val="1E3932"/>
              </a:solidFill>
              <a:latin typeface="Segoe UI"/>
              <a:cs typeface="Segoe UI"/>
            </a:rPr>
            <a:pPr/>
            <a:t>US$1,536</a:t>
          </a:fld>
          <a:endParaRPr lang="en-US" sz="2600" b="1" i="0">
            <a:solidFill>
              <a:srgbClr val="1E3932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6</xdr:col>
      <xdr:colOff>571500</xdr:colOff>
      <xdr:row>13</xdr:row>
      <xdr:rowOff>0</xdr:rowOff>
    </xdr:from>
    <xdr:to>
      <xdr:col>12</xdr:col>
      <xdr:colOff>171450</xdr:colOff>
      <xdr:row>14</xdr:row>
      <xdr:rowOff>38100</xdr:rowOff>
    </xdr:to>
    <xdr:sp macro="" textlink="_calc!$B$8">
      <xdr:nvSpPr>
        <xdr:cNvPr id="23" name="TextBox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 txBox="1"/>
      </xdr:nvSpPr>
      <xdr:spPr>
        <a:xfrm>
          <a:off x="4229100" y="2476500"/>
          <a:ext cx="325755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fld id="{B8ADDEFE-BF52-4FD4-8C5D-6B85EF6FF707}" type="TxLink">
            <a:rPr lang="en-US" sz="900" b="0" i="0">
              <a:solidFill>
                <a:srgbClr val="6B7A74"/>
              </a:solidFill>
              <a:latin typeface="Segoe UI"/>
              <a:cs typeface="Segoe UI"/>
            </a:rPr>
            <a:pPr/>
            <a:t>Beverage ≈ 0.23% of GDP p.c.</a:t>
          </a:fld>
          <a:endParaRPr lang="en-US" sz="900" b="0" i="0">
            <a:solidFill>
              <a:srgbClr val="6B7A74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12</xdr:col>
      <xdr:colOff>419100</xdr:colOff>
      <xdr:row>9</xdr:row>
      <xdr:rowOff>0</xdr:rowOff>
    </xdr:from>
    <xdr:to>
      <xdr:col>18</xdr:col>
      <xdr:colOff>304800</xdr:colOff>
      <xdr:row>14</xdr:row>
      <xdr:rowOff>114300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 txBox="1"/>
      </xdr:nvSpPr>
      <xdr:spPr>
        <a:xfrm>
          <a:off x="7734300" y="1714500"/>
          <a:ext cx="3543300" cy="1066800"/>
        </a:xfrm>
        <a:prstGeom prst="rect">
          <a:avLst/>
        </a:prstGeom>
        <a:solidFill>
          <a:srgbClr val="FFFFFF"/>
        </a:solidFill>
        <a:ln w="9525" cmpd="sng">
          <a:solidFill>
            <a:srgbClr val="E3DED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12</xdr:col>
      <xdr:colOff>419100</xdr:colOff>
      <xdr:row>9</xdr:row>
      <xdr:rowOff>0</xdr:rowOff>
    </xdr:from>
    <xdr:to>
      <xdr:col>12</xdr:col>
      <xdr:colOff>485775</xdr:colOff>
      <xdr:row>14</xdr:row>
      <xdr:rowOff>114300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 txBox="1"/>
      </xdr:nvSpPr>
      <xdr:spPr>
        <a:xfrm>
          <a:off x="7734300" y="1714500"/>
          <a:ext cx="66675" cy="1066800"/>
        </a:xfrm>
        <a:prstGeom prst="rect">
          <a:avLst/>
        </a:prstGeom>
        <a:solidFill>
          <a:srgbClr val="CBA258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13</xdr:col>
      <xdr:colOff>0</xdr:colOff>
      <xdr:row>9</xdr:row>
      <xdr:rowOff>76200</xdr:rowOff>
    </xdr:from>
    <xdr:to>
      <xdr:col>18</xdr:col>
      <xdr:colOff>209550</xdr:colOff>
      <xdr:row>10</xdr:row>
      <xdr:rowOff>114300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 txBox="1"/>
      </xdr:nvSpPr>
      <xdr:spPr>
        <a:xfrm>
          <a:off x="7924800" y="1790700"/>
          <a:ext cx="325755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 b="0" i="0">
              <a:solidFill>
                <a:srgbClr val="6B7A74"/>
              </a:solidFill>
              <a:latin typeface="Segoe UI"/>
              <a:cs typeface="Segoe UI"/>
            </a:rPr>
            <a:t>GDP (2025)</a:t>
          </a:r>
        </a:p>
      </xdr:txBody>
    </xdr:sp>
    <xdr:clientData/>
  </xdr:twoCellAnchor>
  <xdr:twoCellAnchor editAs="absolute">
    <xdr:from>
      <xdr:col>13</xdr:col>
      <xdr:colOff>0</xdr:colOff>
      <xdr:row>10</xdr:row>
      <xdr:rowOff>95250</xdr:rowOff>
    </xdr:from>
    <xdr:to>
      <xdr:col>18</xdr:col>
      <xdr:colOff>209550</xdr:colOff>
      <xdr:row>12</xdr:row>
      <xdr:rowOff>171450</xdr:rowOff>
    </xdr:to>
    <xdr:sp macro="" textlink="_calc!$B$41">
      <xdr:nvSpPr>
        <xdr:cNvPr id="27" name="TextBox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 txBox="1"/>
      </xdr:nvSpPr>
      <xdr:spPr>
        <a:xfrm>
          <a:off x="7924800" y="2000250"/>
          <a:ext cx="3257550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fld id="{B8ADDEFE-BF52-4FD4-8C5D-6B85EF6FF707}" type="TxLink">
            <a:rPr lang="en-US" sz="2600" b="1" i="0">
              <a:solidFill>
                <a:srgbClr val="1E3932"/>
              </a:solidFill>
              <a:latin typeface="Segoe UI"/>
              <a:cs typeface="Segoe UI"/>
            </a:rPr>
            <a:pPr/>
            <a:t>US$45.5bn</a:t>
          </a:fld>
          <a:endParaRPr lang="en-US" sz="2600" b="1" i="0">
            <a:solidFill>
              <a:srgbClr val="1E3932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13</xdr:col>
      <xdr:colOff>0</xdr:colOff>
      <xdr:row>13</xdr:row>
      <xdr:rowOff>0</xdr:rowOff>
    </xdr:from>
    <xdr:to>
      <xdr:col>18</xdr:col>
      <xdr:colOff>209550</xdr:colOff>
      <xdr:row>14</xdr:row>
      <xdr:rowOff>38100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 txBox="1"/>
      </xdr:nvSpPr>
      <xdr:spPr>
        <a:xfrm>
          <a:off x="7924800" y="2476500"/>
          <a:ext cx="325755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900" b="0" i="0">
              <a:solidFill>
                <a:srgbClr val="6B7A74"/>
              </a:solidFill>
              <a:latin typeface="Segoe UI"/>
              <a:cs typeface="Segoe UI"/>
            </a:rPr>
            <a:t>World Bank (2025)</a:t>
          </a:r>
        </a:p>
      </xdr:txBody>
    </xdr:sp>
    <xdr:clientData/>
  </xdr:twoCellAnchor>
  <xdr:twoCellAnchor editAs="absolute">
    <xdr:from>
      <xdr:col>18</xdr:col>
      <xdr:colOff>457200</xdr:colOff>
      <xdr:row>9</xdr:row>
      <xdr:rowOff>0</xdr:rowOff>
    </xdr:from>
    <xdr:to>
      <xdr:col>24</xdr:col>
      <xdr:colOff>342900</xdr:colOff>
      <xdr:row>14</xdr:row>
      <xdr:rowOff>114300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 txBox="1"/>
      </xdr:nvSpPr>
      <xdr:spPr>
        <a:xfrm>
          <a:off x="11430000" y="1714500"/>
          <a:ext cx="3543300" cy="1066800"/>
        </a:xfrm>
        <a:prstGeom prst="rect">
          <a:avLst/>
        </a:prstGeom>
        <a:solidFill>
          <a:srgbClr val="FFFFFF"/>
        </a:solidFill>
        <a:ln w="9525" cmpd="sng">
          <a:solidFill>
            <a:srgbClr val="E3DED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18</xdr:col>
      <xdr:colOff>457200</xdr:colOff>
      <xdr:row>9</xdr:row>
      <xdr:rowOff>0</xdr:rowOff>
    </xdr:from>
    <xdr:to>
      <xdr:col>18</xdr:col>
      <xdr:colOff>523875</xdr:colOff>
      <xdr:row>14</xdr:row>
      <xdr:rowOff>114300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 txBox="1"/>
      </xdr:nvSpPr>
      <xdr:spPr>
        <a:xfrm>
          <a:off x="11430000" y="1714500"/>
          <a:ext cx="66675" cy="1066800"/>
        </a:xfrm>
        <a:prstGeom prst="rect">
          <a:avLst/>
        </a:prstGeom>
        <a:solidFill>
          <a:srgbClr val="00704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19</xdr:col>
      <xdr:colOff>38100</xdr:colOff>
      <xdr:row>9</xdr:row>
      <xdr:rowOff>76200</xdr:rowOff>
    </xdr:from>
    <xdr:to>
      <xdr:col>24</xdr:col>
      <xdr:colOff>247650</xdr:colOff>
      <xdr:row>10</xdr:row>
      <xdr:rowOff>114300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 txBox="1"/>
      </xdr:nvSpPr>
      <xdr:spPr>
        <a:xfrm>
          <a:off x="11620500" y="1790700"/>
          <a:ext cx="325755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 b="0" i="0">
              <a:solidFill>
                <a:srgbClr val="6B7A74"/>
              </a:solidFill>
              <a:latin typeface="Segoe UI"/>
              <a:cs typeface="Segoe UI"/>
            </a:rPr>
            <a:t>GDP growth 2025</a:t>
          </a:r>
        </a:p>
      </xdr:txBody>
    </xdr:sp>
    <xdr:clientData/>
  </xdr:twoCellAnchor>
  <xdr:twoCellAnchor editAs="absolute">
    <xdr:from>
      <xdr:col>19</xdr:col>
      <xdr:colOff>38100</xdr:colOff>
      <xdr:row>10</xdr:row>
      <xdr:rowOff>95250</xdr:rowOff>
    </xdr:from>
    <xdr:to>
      <xdr:col>24</xdr:col>
      <xdr:colOff>247650</xdr:colOff>
      <xdr:row>12</xdr:row>
      <xdr:rowOff>171450</xdr:rowOff>
    </xdr:to>
    <xdr:sp macro="" textlink="_calc!$B$9">
      <xdr:nvSpPr>
        <xdr:cNvPr id="32" name="TextBox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 txBox="1"/>
      </xdr:nvSpPr>
      <xdr:spPr>
        <a:xfrm>
          <a:off x="11620500" y="2000250"/>
          <a:ext cx="3257550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fld id="{B8ADDEFE-BF52-4FD4-8C5D-6B85EF6FF707}" type="TxLink">
            <a:rPr lang="en-US" sz="2600" b="1" i="0">
              <a:solidFill>
                <a:srgbClr val="1E3932"/>
              </a:solidFill>
              <a:latin typeface="Segoe UI"/>
              <a:cs typeface="Segoe UI"/>
            </a:rPr>
            <a:pPr/>
            <a:t>4.4%</a:t>
          </a:fld>
          <a:endParaRPr lang="en-US" sz="2600" b="1" i="0">
            <a:solidFill>
              <a:srgbClr val="1E3932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19</xdr:col>
      <xdr:colOff>38100</xdr:colOff>
      <xdr:row>13</xdr:row>
      <xdr:rowOff>0</xdr:rowOff>
    </xdr:from>
    <xdr:to>
      <xdr:col>24</xdr:col>
      <xdr:colOff>247650</xdr:colOff>
      <xdr:row>14</xdr:row>
      <xdr:rowOff>38100</xdr:rowOff>
    </xdr:to>
    <xdr:sp macro="" textlink="_calc!$B$10">
      <xdr:nvSpPr>
        <xdr:cNvPr id="33" name="TextBox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 txBox="1"/>
      </xdr:nvSpPr>
      <xdr:spPr>
        <a:xfrm>
          <a:off x="11620500" y="2476500"/>
          <a:ext cx="325755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fld id="{B8ADDEFE-BF52-4FD4-8C5D-6B85EF6FF707}" type="TxLink">
            <a:rPr lang="en-US" sz="900" b="0" i="0">
              <a:solidFill>
                <a:srgbClr val="6B7A74"/>
              </a:solidFill>
              <a:latin typeface="Segoe UI"/>
              <a:cs typeface="Segoe UI"/>
            </a:rPr>
            <a:pPr/>
            <a:t>FY2026 projection 2.3%</a:t>
          </a:fld>
          <a:endParaRPr lang="en-US" sz="900" b="0" i="0">
            <a:solidFill>
              <a:srgbClr val="6B7A74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0</xdr:col>
      <xdr:colOff>342900</xdr:colOff>
      <xdr:row>15</xdr:row>
      <xdr:rowOff>76200</xdr:rowOff>
    </xdr:from>
    <xdr:to>
      <xdr:col>6</xdr:col>
      <xdr:colOff>228600</xdr:colOff>
      <xdr:row>21</xdr:row>
      <xdr:rowOff>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 txBox="1"/>
      </xdr:nvSpPr>
      <xdr:spPr>
        <a:xfrm>
          <a:off x="342900" y="2933700"/>
          <a:ext cx="3543300" cy="1066800"/>
        </a:xfrm>
        <a:prstGeom prst="rect">
          <a:avLst/>
        </a:prstGeom>
        <a:solidFill>
          <a:srgbClr val="FFFFFF"/>
        </a:solidFill>
        <a:ln w="9525" cmpd="sng">
          <a:solidFill>
            <a:srgbClr val="E3DED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0</xdr:col>
      <xdr:colOff>342900</xdr:colOff>
      <xdr:row>15</xdr:row>
      <xdr:rowOff>76200</xdr:rowOff>
    </xdr:from>
    <xdr:to>
      <xdr:col>0</xdr:col>
      <xdr:colOff>409575</xdr:colOff>
      <xdr:row>21</xdr:row>
      <xdr:rowOff>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 txBox="1"/>
      </xdr:nvSpPr>
      <xdr:spPr>
        <a:xfrm>
          <a:off x="342900" y="2933700"/>
          <a:ext cx="66675" cy="1066800"/>
        </a:xfrm>
        <a:prstGeom prst="rect">
          <a:avLst/>
        </a:prstGeom>
        <a:solidFill>
          <a:srgbClr val="B5533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0</xdr:col>
      <xdr:colOff>533400</xdr:colOff>
      <xdr:row>15</xdr:row>
      <xdr:rowOff>152400</xdr:rowOff>
    </xdr:from>
    <xdr:to>
      <xdr:col>6</xdr:col>
      <xdr:colOff>133350</xdr:colOff>
      <xdr:row>17</xdr:row>
      <xdr:rowOff>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 txBox="1"/>
      </xdr:nvSpPr>
      <xdr:spPr>
        <a:xfrm>
          <a:off x="533400" y="3009900"/>
          <a:ext cx="325755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 b="0" i="0">
              <a:solidFill>
                <a:srgbClr val="6B7A74"/>
              </a:solidFill>
              <a:latin typeface="Segoe UI"/>
              <a:cs typeface="Segoe UI"/>
            </a:rPr>
            <a:t>Unemployment (2025)</a:t>
          </a:r>
        </a:p>
      </xdr:txBody>
    </xdr:sp>
    <xdr:clientData/>
  </xdr:twoCellAnchor>
  <xdr:twoCellAnchor editAs="absolute">
    <xdr:from>
      <xdr:col>1</xdr:col>
      <xdr:colOff>40563</xdr:colOff>
      <xdr:row>17</xdr:row>
      <xdr:rowOff>76673</xdr:rowOff>
    </xdr:from>
    <xdr:to>
      <xdr:col>6</xdr:col>
      <xdr:colOff>284991</xdr:colOff>
      <xdr:row>19</xdr:row>
      <xdr:rowOff>142448</xdr:rowOff>
    </xdr:to>
    <xdr:sp macro="" textlink="_calc!$B$42">
      <xdr:nvSpPr>
        <xdr:cNvPr id="37" name="TextBox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 txBox="1"/>
      </xdr:nvSpPr>
      <xdr:spPr>
        <a:xfrm>
          <a:off x="685041" y="3137942"/>
          <a:ext cx="3466816" cy="4259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fld id="{B8ADDEFE-BF52-4FD4-8C5D-6B85EF6FF707}" type="TxLink">
            <a:rPr lang="en-US" sz="2600" b="1" i="0">
              <a:solidFill>
                <a:srgbClr val="1E3932"/>
              </a:solidFill>
              <a:latin typeface="Segoe UI"/>
              <a:cs typeface="Segoe UI"/>
            </a:rPr>
            <a:pPr/>
            <a:t>10.5%</a:t>
          </a:fld>
          <a:endParaRPr lang="en-US" sz="2600" b="1" i="0">
            <a:solidFill>
              <a:srgbClr val="1E3932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0</xdr:col>
      <xdr:colOff>533400</xdr:colOff>
      <xdr:row>19</xdr:row>
      <xdr:rowOff>76200</xdr:rowOff>
    </xdr:from>
    <xdr:to>
      <xdr:col>6</xdr:col>
      <xdr:colOff>133350</xdr:colOff>
      <xdr:row>20</xdr:row>
      <xdr:rowOff>114300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 txBox="1"/>
      </xdr:nvSpPr>
      <xdr:spPr>
        <a:xfrm>
          <a:off x="533400" y="3695700"/>
          <a:ext cx="325755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900" b="0" i="0">
              <a:solidFill>
                <a:srgbClr val="6B7A74"/>
              </a:solidFill>
              <a:latin typeface="Segoe UI"/>
              <a:cs typeface="Segoe UI"/>
            </a:rPr>
            <a:t>World Bank (2025)</a:t>
          </a:r>
        </a:p>
      </xdr:txBody>
    </xdr:sp>
    <xdr:clientData/>
  </xdr:twoCellAnchor>
  <xdr:twoCellAnchor editAs="absolute">
    <xdr:from>
      <xdr:col>6</xdr:col>
      <xdr:colOff>381000</xdr:colOff>
      <xdr:row>15</xdr:row>
      <xdr:rowOff>76200</xdr:rowOff>
    </xdr:from>
    <xdr:to>
      <xdr:col>12</xdr:col>
      <xdr:colOff>266700</xdr:colOff>
      <xdr:row>21</xdr:row>
      <xdr:rowOff>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 txBox="1"/>
      </xdr:nvSpPr>
      <xdr:spPr>
        <a:xfrm>
          <a:off x="4038600" y="2933700"/>
          <a:ext cx="3543300" cy="1066800"/>
        </a:xfrm>
        <a:prstGeom prst="rect">
          <a:avLst/>
        </a:prstGeom>
        <a:solidFill>
          <a:srgbClr val="FFFFFF"/>
        </a:solidFill>
        <a:ln w="9525" cmpd="sng">
          <a:solidFill>
            <a:srgbClr val="E3DED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6</xdr:col>
      <xdr:colOff>381000</xdr:colOff>
      <xdr:row>15</xdr:row>
      <xdr:rowOff>76200</xdr:rowOff>
    </xdr:from>
    <xdr:to>
      <xdr:col>6</xdr:col>
      <xdr:colOff>447675</xdr:colOff>
      <xdr:row>21</xdr:row>
      <xdr:rowOff>0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 txBox="1"/>
      </xdr:nvSpPr>
      <xdr:spPr>
        <a:xfrm>
          <a:off x="4038600" y="2933700"/>
          <a:ext cx="66675" cy="1066800"/>
        </a:xfrm>
        <a:prstGeom prst="rect">
          <a:avLst/>
        </a:prstGeom>
        <a:solidFill>
          <a:srgbClr val="CBA258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6</xdr:col>
      <xdr:colOff>571500</xdr:colOff>
      <xdr:row>15</xdr:row>
      <xdr:rowOff>152400</xdr:rowOff>
    </xdr:from>
    <xdr:to>
      <xdr:col>12</xdr:col>
      <xdr:colOff>171450</xdr:colOff>
      <xdr:row>17</xdr:row>
      <xdr:rowOff>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 txBox="1"/>
      </xdr:nvSpPr>
      <xdr:spPr>
        <a:xfrm>
          <a:off x="4229100" y="3009900"/>
          <a:ext cx="325755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 b="0" i="0">
              <a:solidFill>
                <a:srgbClr val="6B7A74"/>
              </a:solidFill>
              <a:latin typeface="Segoe UI"/>
              <a:cs typeface="Segoe UI"/>
            </a:rPr>
            <a:t>Personal remittances (2024)</a:t>
          </a:r>
        </a:p>
      </xdr:txBody>
    </xdr:sp>
    <xdr:clientData/>
  </xdr:twoCellAnchor>
  <xdr:twoCellAnchor editAs="absolute">
    <xdr:from>
      <xdr:col>6</xdr:col>
      <xdr:colOff>571500</xdr:colOff>
      <xdr:row>16</xdr:row>
      <xdr:rowOff>171450</xdr:rowOff>
    </xdr:from>
    <xdr:to>
      <xdr:col>12</xdr:col>
      <xdr:colOff>171450</xdr:colOff>
      <xdr:row>19</xdr:row>
      <xdr:rowOff>57150</xdr:rowOff>
    </xdr:to>
    <xdr:sp macro="" textlink="_calc!$B$43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4229100" y="3219450"/>
          <a:ext cx="3257550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fld id="{B8ADDEFE-BF52-4FD4-8C5D-6B85EF6FF707}" type="TxLink">
            <a:rPr lang="en-US" sz="2600" b="1" i="0">
              <a:solidFill>
                <a:srgbClr val="1E3932"/>
              </a:solidFill>
              <a:latin typeface="Segoe UI"/>
              <a:cs typeface="Segoe UI"/>
            </a:rPr>
            <a:pPr/>
            <a:t>26% of GDP</a:t>
          </a:fld>
          <a:endParaRPr lang="en-US" sz="2600" b="1" i="0">
            <a:solidFill>
              <a:srgbClr val="1E3932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6</xdr:col>
      <xdr:colOff>571500</xdr:colOff>
      <xdr:row>19</xdr:row>
      <xdr:rowOff>76200</xdr:rowOff>
    </xdr:from>
    <xdr:to>
      <xdr:col>12</xdr:col>
      <xdr:colOff>171450</xdr:colOff>
      <xdr:row>20</xdr:row>
      <xdr:rowOff>114300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 txBox="1"/>
      </xdr:nvSpPr>
      <xdr:spPr>
        <a:xfrm>
          <a:off x="4229100" y="3695700"/>
          <a:ext cx="325755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900" b="0" i="0">
              <a:solidFill>
                <a:srgbClr val="6B7A74"/>
              </a:solidFill>
              <a:latin typeface="Segoe UI"/>
              <a:cs typeface="Segoe UI"/>
            </a:rPr>
            <a:t>World Bank (2025)</a:t>
          </a:r>
        </a:p>
      </xdr:txBody>
    </xdr:sp>
    <xdr:clientData/>
  </xdr:twoCellAnchor>
  <xdr:twoCellAnchor editAs="absolute">
    <xdr:from>
      <xdr:col>12</xdr:col>
      <xdr:colOff>419100</xdr:colOff>
      <xdr:row>15</xdr:row>
      <xdr:rowOff>76200</xdr:rowOff>
    </xdr:from>
    <xdr:to>
      <xdr:col>18</xdr:col>
      <xdr:colOff>304800</xdr:colOff>
      <xdr:row>21</xdr:row>
      <xdr:rowOff>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 txBox="1"/>
      </xdr:nvSpPr>
      <xdr:spPr>
        <a:xfrm>
          <a:off x="7734300" y="2933700"/>
          <a:ext cx="3543300" cy="1066800"/>
        </a:xfrm>
        <a:prstGeom prst="rect">
          <a:avLst/>
        </a:prstGeom>
        <a:solidFill>
          <a:srgbClr val="FFFFFF"/>
        </a:solidFill>
        <a:ln w="9525" cmpd="sng">
          <a:solidFill>
            <a:srgbClr val="E3DED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12</xdr:col>
      <xdr:colOff>419100</xdr:colOff>
      <xdr:row>15</xdr:row>
      <xdr:rowOff>76200</xdr:rowOff>
    </xdr:from>
    <xdr:to>
      <xdr:col>12</xdr:col>
      <xdr:colOff>485775</xdr:colOff>
      <xdr:row>21</xdr:row>
      <xdr:rowOff>0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 txBox="1"/>
      </xdr:nvSpPr>
      <xdr:spPr>
        <a:xfrm>
          <a:off x="7734300" y="2933700"/>
          <a:ext cx="66675" cy="1066800"/>
        </a:xfrm>
        <a:prstGeom prst="rect">
          <a:avLst/>
        </a:prstGeom>
        <a:solidFill>
          <a:srgbClr val="00704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13</xdr:col>
      <xdr:colOff>0</xdr:colOff>
      <xdr:row>15</xdr:row>
      <xdr:rowOff>152400</xdr:rowOff>
    </xdr:from>
    <xdr:to>
      <xdr:col>18</xdr:col>
      <xdr:colOff>209550</xdr:colOff>
      <xdr:row>17</xdr:row>
      <xdr:rowOff>0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 txBox="1"/>
      </xdr:nvSpPr>
      <xdr:spPr>
        <a:xfrm>
          <a:off x="7924800" y="3009900"/>
          <a:ext cx="325755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 b="0" i="0">
              <a:solidFill>
                <a:srgbClr val="6B7A74"/>
              </a:solidFill>
              <a:latin typeface="Segoe UI"/>
              <a:cs typeface="Segoe UI"/>
            </a:rPr>
            <a:t>Tourist arrivals (2025)</a:t>
          </a:r>
        </a:p>
      </xdr:txBody>
    </xdr:sp>
    <xdr:clientData/>
  </xdr:twoCellAnchor>
  <xdr:twoCellAnchor editAs="absolute">
    <xdr:from>
      <xdr:col>13</xdr:col>
      <xdr:colOff>0</xdr:colOff>
      <xdr:row>16</xdr:row>
      <xdr:rowOff>171450</xdr:rowOff>
    </xdr:from>
    <xdr:to>
      <xdr:col>18</xdr:col>
      <xdr:colOff>209550</xdr:colOff>
      <xdr:row>19</xdr:row>
      <xdr:rowOff>57150</xdr:rowOff>
    </xdr:to>
    <xdr:sp macro="" textlink="_calc!$B$44">
      <xdr:nvSpPr>
        <xdr:cNvPr id="47" name="TextBox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 txBox="1"/>
      </xdr:nvSpPr>
      <xdr:spPr>
        <a:xfrm>
          <a:off x="7924800" y="3219450"/>
          <a:ext cx="3257550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fld id="{B8ADDEFE-BF52-4FD4-8C5D-6B85EF6FF707}" type="TxLink">
            <a:rPr lang="en-US" sz="2600" b="1" i="0">
              <a:solidFill>
                <a:srgbClr val="1E3932"/>
              </a:solidFill>
              <a:latin typeface="Segoe UI"/>
              <a:cs typeface="Segoe UI"/>
            </a:rPr>
            <a:pPr/>
            <a:t>1.16m</a:t>
          </a:fld>
          <a:endParaRPr lang="en-US" sz="2600" b="1" i="0">
            <a:solidFill>
              <a:srgbClr val="1E3932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13</xdr:col>
      <xdr:colOff>0</xdr:colOff>
      <xdr:row>19</xdr:row>
      <xdr:rowOff>76200</xdr:rowOff>
    </xdr:from>
    <xdr:to>
      <xdr:col>18</xdr:col>
      <xdr:colOff>209550</xdr:colOff>
      <xdr:row>20</xdr:row>
      <xdr:rowOff>114300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 txBox="1"/>
      </xdr:nvSpPr>
      <xdr:spPr>
        <a:xfrm>
          <a:off x="7924800" y="3695700"/>
          <a:ext cx="325755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900" b="0" i="0">
              <a:solidFill>
                <a:srgbClr val="6B7A74"/>
              </a:solidFill>
              <a:latin typeface="Segoe UI"/>
              <a:cs typeface="Segoe UI"/>
            </a:rPr>
            <a:t>Nepal Tourism Board</a:t>
          </a:r>
        </a:p>
      </xdr:txBody>
    </xdr:sp>
    <xdr:clientData/>
  </xdr:twoCellAnchor>
  <xdr:twoCellAnchor editAs="absolute">
    <xdr:from>
      <xdr:col>18</xdr:col>
      <xdr:colOff>457200</xdr:colOff>
      <xdr:row>15</xdr:row>
      <xdr:rowOff>76200</xdr:rowOff>
    </xdr:from>
    <xdr:to>
      <xdr:col>24</xdr:col>
      <xdr:colOff>342900</xdr:colOff>
      <xdr:row>21</xdr:row>
      <xdr:rowOff>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 txBox="1"/>
      </xdr:nvSpPr>
      <xdr:spPr>
        <a:xfrm>
          <a:off x="11430000" y="2933700"/>
          <a:ext cx="3543300" cy="1066800"/>
        </a:xfrm>
        <a:prstGeom prst="rect">
          <a:avLst/>
        </a:prstGeom>
        <a:solidFill>
          <a:srgbClr val="FFFFFF"/>
        </a:solidFill>
        <a:ln w="9525" cmpd="sng">
          <a:solidFill>
            <a:srgbClr val="E3DED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18</xdr:col>
      <xdr:colOff>457200</xdr:colOff>
      <xdr:row>15</xdr:row>
      <xdr:rowOff>76200</xdr:rowOff>
    </xdr:from>
    <xdr:to>
      <xdr:col>18</xdr:col>
      <xdr:colOff>523875</xdr:colOff>
      <xdr:row>21</xdr:row>
      <xdr:rowOff>0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 txBox="1"/>
      </xdr:nvSpPr>
      <xdr:spPr>
        <a:xfrm>
          <a:off x="11430000" y="2933700"/>
          <a:ext cx="66675" cy="1066800"/>
        </a:xfrm>
        <a:prstGeom prst="rect">
          <a:avLst/>
        </a:prstGeom>
        <a:solidFill>
          <a:srgbClr val="00704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19</xdr:col>
      <xdr:colOff>38100</xdr:colOff>
      <xdr:row>15</xdr:row>
      <xdr:rowOff>152400</xdr:rowOff>
    </xdr:from>
    <xdr:to>
      <xdr:col>24</xdr:col>
      <xdr:colOff>247650</xdr:colOff>
      <xdr:row>17</xdr:row>
      <xdr:rowOff>0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 txBox="1"/>
      </xdr:nvSpPr>
      <xdr:spPr>
        <a:xfrm>
          <a:off x="11620500" y="3009900"/>
          <a:ext cx="325755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 b="0" i="0">
              <a:solidFill>
                <a:srgbClr val="6B7A74"/>
              </a:solidFill>
              <a:latin typeface="Segoe UI"/>
              <a:cs typeface="Segoe UI"/>
            </a:rPr>
            <a:t>Hydropower added (H1 FY2026)</a:t>
          </a:r>
        </a:p>
      </xdr:txBody>
    </xdr:sp>
    <xdr:clientData/>
  </xdr:twoCellAnchor>
  <xdr:twoCellAnchor editAs="absolute">
    <xdr:from>
      <xdr:col>19</xdr:col>
      <xdr:colOff>38100</xdr:colOff>
      <xdr:row>16</xdr:row>
      <xdr:rowOff>171450</xdr:rowOff>
    </xdr:from>
    <xdr:to>
      <xdr:col>24</xdr:col>
      <xdr:colOff>247650</xdr:colOff>
      <xdr:row>19</xdr:row>
      <xdr:rowOff>57150</xdr:rowOff>
    </xdr:to>
    <xdr:sp macro="" textlink="_calc!$B$45">
      <xdr:nvSpPr>
        <xdr:cNvPr id="52" name="TextBox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 txBox="1"/>
      </xdr:nvSpPr>
      <xdr:spPr>
        <a:xfrm>
          <a:off x="11620500" y="3219450"/>
          <a:ext cx="3257550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fld id="{B8ADDEFE-BF52-4FD4-8C5D-6B85EF6FF707}" type="TxLink">
            <a:rPr lang="en-US" sz="2600" b="1" i="0">
              <a:solidFill>
                <a:srgbClr val="1E3932"/>
              </a:solidFill>
              <a:latin typeface="Segoe UI"/>
              <a:cs typeface="Segoe UI"/>
            </a:rPr>
            <a:pPr/>
            <a:t>385 MW</a:t>
          </a:fld>
          <a:endParaRPr lang="en-US" sz="2600" b="1" i="0">
            <a:solidFill>
              <a:srgbClr val="1E3932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19</xdr:col>
      <xdr:colOff>38100</xdr:colOff>
      <xdr:row>19</xdr:row>
      <xdr:rowOff>76200</xdr:rowOff>
    </xdr:from>
    <xdr:to>
      <xdr:col>24</xdr:col>
      <xdr:colOff>247650</xdr:colOff>
      <xdr:row>20</xdr:row>
      <xdr:rowOff>114300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 txBox="1"/>
      </xdr:nvSpPr>
      <xdr:spPr>
        <a:xfrm>
          <a:off x="11620500" y="3695700"/>
          <a:ext cx="325755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900" b="0" i="0">
              <a:solidFill>
                <a:srgbClr val="6B7A74"/>
              </a:solidFill>
              <a:latin typeface="Segoe UI"/>
              <a:cs typeface="Segoe UI"/>
            </a:rPr>
            <a:t>World Bank (2026)</a:t>
          </a:r>
        </a:p>
      </xdr:txBody>
    </xdr:sp>
    <xdr:clientData/>
  </xdr:twoCellAnchor>
  <xdr:twoCellAnchor editAs="absolute">
    <xdr:from>
      <xdr:col>0</xdr:col>
      <xdr:colOff>495300</xdr:colOff>
      <xdr:row>37</xdr:row>
      <xdr:rowOff>19050</xdr:rowOff>
    </xdr:from>
    <xdr:to>
      <xdr:col>8</xdr:col>
      <xdr:colOff>95250</xdr:colOff>
      <xdr:row>38</xdr:row>
      <xdr:rowOff>95250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 txBox="1"/>
      </xdr:nvSpPr>
      <xdr:spPr>
        <a:xfrm>
          <a:off x="495300" y="7067550"/>
          <a:ext cx="44767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0" i="0">
              <a:solidFill>
                <a:srgbClr val="6B7A74"/>
              </a:solidFill>
              <a:latin typeface="Segoe UI"/>
              <a:cs typeface="Segoe UI"/>
            </a:rPr>
            <a:t>Growth: 2025 actual, FY2026 projection, FY2027–28 average. Inflation: FY2025 actual, then projections. World Bank (2026).</a:t>
          </a:r>
        </a:p>
      </xdr:txBody>
    </xdr:sp>
    <xdr:clientData/>
  </xdr:twoCellAnchor>
  <xdr:twoCellAnchor editAs="absolute">
    <xdr:from>
      <xdr:col>8</xdr:col>
      <xdr:colOff>533400</xdr:colOff>
      <xdr:row>37</xdr:row>
      <xdr:rowOff>19050</xdr:rowOff>
    </xdr:from>
    <xdr:to>
      <xdr:col>16</xdr:col>
      <xdr:colOff>133350</xdr:colOff>
      <xdr:row>38</xdr:row>
      <xdr:rowOff>95250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 txBox="1"/>
      </xdr:nvSpPr>
      <xdr:spPr>
        <a:xfrm>
          <a:off x="5410200" y="7067550"/>
          <a:ext cx="44767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0" i="0">
              <a:solidFill>
                <a:srgbClr val="6B7A74"/>
              </a:solidFill>
              <a:latin typeface="Segoe UI"/>
              <a:cs typeface="Segoe UI"/>
            </a:rPr>
            <a:t>Imports 1,200–1,400 t (light segment = upper estimate). Lamichhane and Malla (2025).</a:t>
          </a:r>
        </a:p>
      </xdr:txBody>
    </xdr:sp>
    <xdr:clientData/>
  </xdr:twoCellAnchor>
  <xdr:twoCellAnchor editAs="absolute">
    <xdr:from>
      <xdr:col>16</xdr:col>
      <xdr:colOff>590550</xdr:colOff>
      <xdr:row>37</xdr:row>
      <xdr:rowOff>38100</xdr:rowOff>
    </xdr:from>
    <xdr:to>
      <xdr:col>24</xdr:col>
      <xdr:colOff>95250</xdr:colOff>
      <xdr:row>38</xdr:row>
      <xdr:rowOff>95250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 txBox="1"/>
      </xdr:nvSpPr>
      <xdr:spPr>
        <a:xfrm>
          <a:off x="10344150" y="7086600"/>
          <a:ext cx="43815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0" i="0">
              <a:solidFill>
                <a:srgbClr val="6B7A74"/>
              </a:solidFill>
              <a:latin typeface="Segoe UI"/>
              <a:cs typeface="Segoe UI"/>
            </a:rPr>
            <a:t>Long-term orientation and indulgence: no published Nepal score (excluded)</a:t>
          </a:r>
        </a:p>
      </xdr:txBody>
    </xdr:sp>
    <xdr:clientData/>
  </xdr:twoCellAnchor>
  <xdr:twoCellAnchor editAs="absolute">
    <xdr:from>
      <xdr:col>0</xdr:col>
      <xdr:colOff>342900</xdr:colOff>
      <xdr:row>39</xdr:row>
      <xdr:rowOff>114300</xdr:rowOff>
    </xdr:from>
    <xdr:to>
      <xdr:col>16</xdr:col>
      <xdr:colOff>114300</xdr:colOff>
      <xdr:row>56</xdr:row>
      <xdr:rowOff>114300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 txBox="1"/>
      </xdr:nvSpPr>
      <xdr:spPr>
        <a:xfrm>
          <a:off x="342900" y="7543800"/>
          <a:ext cx="9525000" cy="3238500"/>
        </a:xfrm>
        <a:prstGeom prst="rect">
          <a:avLst/>
        </a:prstGeom>
        <a:solidFill>
          <a:srgbClr val="FFFFFF"/>
        </a:solidFill>
        <a:ln w="9525" cmpd="sng">
          <a:solidFill>
            <a:srgbClr val="E3DED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0</xdr:col>
      <xdr:colOff>514350</xdr:colOff>
      <xdr:row>40</xdr:row>
      <xdr:rowOff>38100</xdr:rowOff>
    </xdr:from>
    <xdr:to>
      <xdr:col>15</xdr:col>
      <xdr:colOff>552450</xdr:colOff>
      <xdr:row>41</xdr:row>
      <xdr:rowOff>95250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 txBox="1"/>
      </xdr:nvSpPr>
      <xdr:spPr>
        <a:xfrm>
          <a:off x="514350" y="7658100"/>
          <a:ext cx="91821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600" b="1" i="0">
              <a:solidFill>
                <a:srgbClr val="1E3932"/>
              </a:solidFill>
              <a:latin typeface="Segoe UI"/>
              <a:cs typeface="Segoe UI"/>
            </a:rPr>
            <a:t>Calulation</a:t>
          </a:r>
          <a:r>
            <a:rPr lang="en-US" sz="1600" b="1" i="0" baseline="0">
              <a:solidFill>
                <a:srgbClr val="1E3932"/>
              </a:solidFill>
              <a:latin typeface="Segoe UI"/>
              <a:cs typeface="Segoe UI"/>
            </a:rPr>
            <a:t> Table</a:t>
          </a:r>
          <a:endParaRPr lang="en-US" sz="1600" b="1" i="0">
            <a:solidFill>
              <a:srgbClr val="1E3932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0</xdr:col>
      <xdr:colOff>495300</xdr:colOff>
      <xdr:row>42</xdr:row>
      <xdr:rowOff>171450</xdr:rowOff>
    </xdr:from>
    <xdr:to>
      <xdr:col>4</xdr:col>
      <xdr:colOff>314325</xdr:colOff>
      <xdr:row>45</xdr:row>
      <xdr:rowOff>47625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 txBox="1"/>
      </xdr:nvSpPr>
      <xdr:spPr>
        <a:xfrm>
          <a:off x="495300" y="8172450"/>
          <a:ext cx="2257425" cy="447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600" b="1" i="0">
              <a:solidFill>
                <a:srgbClr val="6B7A74"/>
              </a:solidFill>
              <a:latin typeface="Segoe UI"/>
              <a:cs typeface="Segoe UI"/>
            </a:rPr>
            <a:t>Calculation</a:t>
          </a:r>
        </a:p>
      </xdr:txBody>
    </xdr:sp>
    <xdr:clientData/>
  </xdr:twoCellAnchor>
  <xdr:twoCellAnchor editAs="absolute">
    <xdr:from>
      <xdr:col>4</xdr:col>
      <xdr:colOff>342900</xdr:colOff>
      <xdr:row>42</xdr:row>
      <xdr:rowOff>171450</xdr:rowOff>
    </xdr:from>
    <xdr:to>
      <xdr:col>8</xdr:col>
      <xdr:colOff>447675</xdr:colOff>
      <xdr:row>45</xdr:row>
      <xdr:rowOff>47625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 txBox="1"/>
      </xdr:nvSpPr>
      <xdr:spPr>
        <a:xfrm>
          <a:off x="2781300" y="8172450"/>
          <a:ext cx="2543175" cy="447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600" b="1" i="0">
              <a:solidFill>
                <a:srgbClr val="6B7A74"/>
              </a:solidFill>
              <a:latin typeface="Segoe UI"/>
              <a:cs typeface="Segoe UI"/>
            </a:rPr>
            <a:t>Formula</a:t>
          </a:r>
        </a:p>
      </xdr:txBody>
    </xdr:sp>
    <xdr:clientData/>
  </xdr:twoCellAnchor>
  <xdr:twoCellAnchor editAs="absolute">
    <xdr:from>
      <xdr:col>8</xdr:col>
      <xdr:colOff>476250</xdr:colOff>
      <xdr:row>42</xdr:row>
      <xdr:rowOff>171450</xdr:rowOff>
    </xdr:from>
    <xdr:to>
      <xdr:col>12</xdr:col>
      <xdr:colOff>485775</xdr:colOff>
      <xdr:row>45</xdr:row>
      <xdr:rowOff>47625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 txBox="1"/>
      </xdr:nvSpPr>
      <xdr:spPr>
        <a:xfrm>
          <a:off x="5353050" y="8172450"/>
          <a:ext cx="2447925" cy="447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600" b="1" i="0">
              <a:solidFill>
                <a:srgbClr val="6B7A74"/>
              </a:solidFill>
              <a:latin typeface="Segoe UI"/>
              <a:cs typeface="Segoe UI"/>
            </a:rPr>
            <a:t>Inputs</a:t>
          </a:r>
        </a:p>
      </xdr:txBody>
    </xdr:sp>
    <xdr:clientData/>
  </xdr:twoCellAnchor>
  <xdr:twoCellAnchor editAs="absolute">
    <xdr:from>
      <xdr:col>12</xdr:col>
      <xdr:colOff>514350</xdr:colOff>
      <xdr:row>42</xdr:row>
      <xdr:rowOff>171450</xdr:rowOff>
    </xdr:from>
    <xdr:to>
      <xdr:col>15</xdr:col>
      <xdr:colOff>371475</xdr:colOff>
      <xdr:row>45</xdr:row>
      <xdr:rowOff>47625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 txBox="1"/>
      </xdr:nvSpPr>
      <xdr:spPr>
        <a:xfrm>
          <a:off x="7829550" y="8172450"/>
          <a:ext cx="1685925" cy="447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600" b="1" i="0">
              <a:solidFill>
                <a:srgbClr val="6B7A74"/>
              </a:solidFill>
              <a:latin typeface="Segoe UI"/>
              <a:cs typeface="Segoe UI"/>
            </a:rPr>
            <a:t>Result</a:t>
          </a:r>
        </a:p>
      </xdr:txBody>
    </xdr:sp>
    <xdr:clientData/>
  </xdr:twoCellAnchor>
  <xdr:twoCellAnchor editAs="absolute">
    <xdr:from>
      <xdr:col>0</xdr:col>
      <xdr:colOff>495300</xdr:colOff>
      <xdr:row>45</xdr:row>
      <xdr:rowOff>76200</xdr:rowOff>
    </xdr:from>
    <xdr:to>
      <xdr:col>4</xdr:col>
      <xdr:colOff>314325</xdr:colOff>
      <xdr:row>47</xdr:row>
      <xdr:rowOff>142875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 txBox="1"/>
      </xdr:nvSpPr>
      <xdr:spPr>
        <a:xfrm>
          <a:off x="495300" y="8648700"/>
          <a:ext cx="2257425" cy="447675"/>
        </a:xfrm>
        <a:prstGeom prst="rect">
          <a:avLst/>
        </a:prstGeom>
        <a:noFill/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050" b="1" i="0">
              <a:solidFill>
                <a:srgbClr val="1E2A26"/>
              </a:solidFill>
              <a:latin typeface="Segoe UI"/>
              <a:cs typeface="Segoe UI"/>
            </a:rPr>
            <a:t>Coffee supply gap</a:t>
          </a:r>
        </a:p>
      </xdr:txBody>
    </xdr:sp>
    <xdr:clientData/>
  </xdr:twoCellAnchor>
  <xdr:twoCellAnchor editAs="absolute">
    <xdr:from>
      <xdr:col>4</xdr:col>
      <xdr:colOff>342900</xdr:colOff>
      <xdr:row>45</xdr:row>
      <xdr:rowOff>76200</xdr:rowOff>
    </xdr:from>
    <xdr:to>
      <xdr:col>8</xdr:col>
      <xdr:colOff>447675</xdr:colOff>
      <xdr:row>47</xdr:row>
      <xdr:rowOff>142875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SpPr txBox="1"/>
      </xdr:nvSpPr>
      <xdr:spPr>
        <a:xfrm>
          <a:off x="2781300" y="8648700"/>
          <a:ext cx="2543175" cy="447675"/>
        </a:xfrm>
        <a:prstGeom prst="rect">
          <a:avLst/>
        </a:prstGeom>
        <a:noFill/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050" b="0" i="0">
              <a:solidFill>
                <a:srgbClr val="1E2A26"/>
              </a:solidFill>
              <a:latin typeface="Segoe UI"/>
              <a:cs typeface="Segoe UI"/>
            </a:rPr>
            <a:t>Consumption − Production</a:t>
          </a:r>
        </a:p>
      </xdr:txBody>
    </xdr:sp>
    <xdr:clientData/>
  </xdr:twoCellAnchor>
  <xdr:twoCellAnchor editAs="absolute">
    <xdr:from>
      <xdr:col>8</xdr:col>
      <xdr:colOff>476250</xdr:colOff>
      <xdr:row>45</xdr:row>
      <xdr:rowOff>76200</xdr:rowOff>
    </xdr:from>
    <xdr:to>
      <xdr:col>12</xdr:col>
      <xdr:colOff>485775</xdr:colOff>
      <xdr:row>47</xdr:row>
      <xdr:rowOff>142875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 txBox="1"/>
      </xdr:nvSpPr>
      <xdr:spPr>
        <a:xfrm>
          <a:off x="5353050" y="8648700"/>
          <a:ext cx="2447925" cy="447675"/>
        </a:xfrm>
        <a:prstGeom prst="rect">
          <a:avLst/>
        </a:prstGeom>
        <a:noFill/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050" b="0" i="0">
              <a:solidFill>
                <a:srgbClr val="1E2A26"/>
              </a:solidFill>
              <a:latin typeface="Segoe UI"/>
              <a:cs typeface="Segoe UI"/>
            </a:rPr>
            <a:t>1,800 t − 586 t</a:t>
          </a:r>
        </a:p>
      </xdr:txBody>
    </xdr:sp>
    <xdr:clientData/>
  </xdr:twoCellAnchor>
  <xdr:twoCellAnchor editAs="absolute">
    <xdr:from>
      <xdr:col>12</xdr:col>
      <xdr:colOff>514350</xdr:colOff>
      <xdr:row>45</xdr:row>
      <xdr:rowOff>76200</xdr:rowOff>
    </xdr:from>
    <xdr:to>
      <xdr:col>15</xdr:col>
      <xdr:colOff>371475</xdr:colOff>
      <xdr:row>47</xdr:row>
      <xdr:rowOff>142875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 txBox="1"/>
      </xdr:nvSpPr>
      <xdr:spPr>
        <a:xfrm>
          <a:off x="7829550" y="8648700"/>
          <a:ext cx="1685925" cy="447675"/>
        </a:xfrm>
        <a:prstGeom prst="rect">
          <a:avLst/>
        </a:prstGeom>
        <a:noFill/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050" b="0" i="0">
              <a:solidFill>
                <a:srgbClr val="1E2A26"/>
              </a:solidFill>
              <a:latin typeface="Segoe UI"/>
              <a:cs typeface="Segoe UI"/>
            </a:rPr>
            <a:t>1,214 t</a:t>
          </a:r>
        </a:p>
      </xdr:txBody>
    </xdr:sp>
    <xdr:clientData/>
  </xdr:twoCellAnchor>
  <xdr:twoCellAnchor editAs="absolute">
    <xdr:from>
      <xdr:col>0</xdr:col>
      <xdr:colOff>495300</xdr:colOff>
      <xdr:row>47</xdr:row>
      <xdr:rowOff>171450</xdr:rowOff>
    </xdr:from>
    <xdr:to>
      <xdr:col>4</xdr:col>
      <xdr:colOff>314325</xdr:colOff>
      <xdr:row>50</xdr:row>
      <xdr:rowOff>47625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 txBox="1"/>
      </xdr:nvSpPr>
      <xdr:spPr>
        <a:xfrm>
          <a:off x="495300" y="9124950"/>
          <a:ext cx="2257425" cy="447675"/>
        </a:xfrm>
        <a:prstGeom prst="rect">
          <a:avLst/>
        </a:prstGeom>
        <a:noFill/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050" b="1" i="0">
              <a:solidFill>
                <a:srgbClr val="1E2A26"/>
              </a:solidFill>
              <a:latin typeface="Segoe UI"/>
              <a:cs typeface="Segoe UI"/>
            </a:rPr>
            <a:t>Beverage affordability</a:t>
          </a:r>
        </a:p>
      </xdr:txBody>
    </xdr:sp>
    <xdr:clientData/>
  </xdr:twoCellAnchor>
  <xdr:twoCellAnchor editAs="absolute">
    <xdr:from>
      <xdr:col>4</xdr:col>
      <xdr:colOff>342900</xdr:colOff>
      <xdr:row>47</xdr:row>
      <xdr:rowOff>171450</xdr:rowOff>
    </xdr:from>
    <xdr:to>
      <xdr:col>8</xdr:col>
      <xdr:colOff>447675</xdr:colOff>
      <xdr:row>50</xdr:row>
      <xdr:rowOff>47625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 txBox="1"/>
      </xdr:nvSpPr>
      <xdr:spPr>
        <a:xfrm>
          <a:off x="2781300" y="9124950"/>
          <a:ext cx="2543175" cy="447675"/>
        </a:xfrm>
        <a:prstGeom prst="rect">
          <a:avLst/>
        </a:prstGeom>
        <a:noFill/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050" b="0" i="0">
              <a:solidFill>
                <a:srgbClr val="1E2A26"/>
              </a:solidFill>
              <a:latin typeface="Segoe UI"/>
              <a:cs typeface="Segoe UI"/>
            </a:rPr>
            <a:t>Price / GDP per capita × 100</a:t>
          </a:r>
        </a:p>
      </xdr:txBody>
    </xdr:sp>
    <xdr:clientData/>
  </xdr:twoCellAnchor>
  <xdr:twoCellAnchor editAs="absolute">
    <xdr:from>
      <xdr:col>8</xdr:col>
      <xdr:colOff>476250</xdr:colOff>
      <xdr:row>47</xdr:row>
      <xdr:rowOff>171450</xdr:rowOff>
    </xdr:from>
    <xdr:to>
      <xdr:col>12</xdr:col>
      <xdr:colOff>485775</xdr:colOff>
      <xdr:row>50</xdr:row>
      <xdr:rowOff>47625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 txBox="1"/>
      </xdr:nvSpPr>
      <xdr:spPr>
        <a:xfrm>
          <a:off x="5353050" y="9124950"/>
          <a:ext cx="2447925" cy="447675"/>
        </a:xfrm>
        <a:prstGeom prst="rect">
          <a:avLst/>
        </a:prstGeom>
        <a:noFill/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050" b="0" i="0">
              <a:solidFill>
                <a:srgbClr val="1E2A26"/>
              </a:solidFill>
              <a:latin typeface="Segoe UI"/>
              <a:cs typeface="Segoe UI"/>
            </a:rPr>
            <a:t>US$3.50 / US$1,535.9 × 100</a:t>
          </a:r>
        </a:p>
      </xdr:txBody>
    </xdr:sp>
    <xdr:clientData/>
  </xdr:twoCellAnchor>
  <xdr:twoCellAnchor editAs="absolute">
    <xdr:from>
      <xdr:col>12</xdr:col>
      <xdr:colOff>514350</xdr:colOff>
      <xdr:row>47</xdr:row>
      <xdr:rowOff>171450</xdr:rowOff>
    </xdr:from>
    <xdr:to>
      <xdr:col>15</xdr:col>
      <xdr:colOff>371475</xdr:colOff>
      <xdr:row>50</xdr:row>
      <xdr:rowOff>47625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SpPr txBox="1"/>
      </xdr:nvSpPr>
      <xdr:spPr>
        <a:xfrm>
          <a:off x="7829550" y="9124950"/>
          <a:ext cx="1685925" cy="447675"/>
        </a:xfrm>
        <a:prstGeom prst="rect">
          <a:avLst/>
        </a:prstGeom>
        <a:noFill/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050" b="0" i="0">
              <a:solidFill>
                <a:srgbClr val="1E2A26"/>
              </a:solidFill>
              <a:latin typeface="Segoe UI"/>
              <a:cs typeface="Segoe UI"/>
            </a:rPr>
            <a:t>0.23%</a:t>
          </a:r>
        </a:p>
      </xdr:txBody>
    </xdr:sp>
    <xdr:clientData/>
  </xdr:twoCellAnchor>
  <xdr:twoCellAnchor editAs="absolute">
    <xdr:from>
      <xdr:col>0</xdr:col>
      <xdr:colOff>495300</xdr:colOff>
      <xdr:row>50</xdr:row>
      <xdr:rowOff>76200</xdr:rowOff>
    </xdr:from>
    <xdr:to>
      <xdr:col>4</xdr:col>
      <xdr:colOff>314325</xdr:colOff>
      <xdr:row>52</xdr:row>
      <xdr:rowOff>142875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SpPr txBox="1"/>
      </xdr:nvSpPr>
      <xdr:spPr>
        <a:xfrm>
          <a:off x="495300" y="9601200"/>
          <a:ext cx="2257425" cy="447675"/>
        </a:xfrm>
        <a:prstGeom prst="rect">
          <a:avLst/>
        </a:prstGeom>
        <a:noFill/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050" b="1" i="0">
              <a:solidFill>
                <a:srgbClr val="1E2A26"/>
              </a:solidFill>
              <a:latin typeface="Segoe UI"/>
              <a:cs typeface="Segoe UI"/>
            </a:rPr>
            <a:t>US + China portfolio share</a:t>
          </a:r>
        </a:p>
      </xdr:txBody>
    </xdr:sp>
    <xdr:clientData/>
  </xdr:twoCellAnchor>
  <xdr:twoCellAnchor editAs="absolute">
    <xdr:from>
      <xdr:col>4</xdr:col>
      <xdr:colOff>342900</xdr:colOff>
      <xdr:row>50</xdr:row>
      <xdr:rowOff>76200</xdr:rowOff>
    </xdr:from>
    <xdr:to>
      <xdr:col>8</xdr:col>
      <xdr:colOff>447675</xdr:colOff>
      <xdr:row>52</xdr:row>
      <xdr:rowOff>142875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SpPr txBox="1"/>
      </xdr:nvSpPr>
      <xdr:spPr>
        <a:xfrm>
          <a:off x="2781300" y="9601200"/>
          <a:ext cx="2543175" cy="447675"/>
        </a:xfrm>
        <a:prstGeom prst="rect">
          <a:avLst/>
        </a:prstGeom>
        <a:noFill/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050" b="0" i="0">
              <a:solidFill>
                <a:srgbClr val="1E2A26"/>
              </a:solidFill>
              <a:latin typeface="Segoe UI"/>
              <a:cs typeface="Segoe UI"/>
            </a:rPr>
            <a:t>(US stores + China stores) / Total stores × 100</a:t>
          </a:r>
        </a:p>
      </xdr:txBody>
    </xdr:sp>
    <xdr:clientData/>
  </xdr:twoCellAnchor>
  <xdr:twoCellAnchor editAs="absolute">
    <xdr:from>
      <xdr:col>8</xdr:col>
      <xdr:colOff>476250</xdr:colOff>
      <xdr:row>50</xdr:row>
      <xdr:rowOff>76200</xdr:rowOff>
    </xdr:from>
    <xdr:to>
      <xdr:col>12</xdr:col>
      <xdr:colOff>485775</xdr:colOff>
      <xdr:row>52</xdr:row>
      <xdr:rowOff>142875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SpPr txBox="1"/>
      </xdr:nvSpPr>
      <xdr:spPr>
        <a:xfrm>
          <a:off x="5353050" y="9601200"/>
          <a:ext cx="2447925" cy="447675"/>
        </a:xfrm>
        <a:prstGeom prst="rect">
          <a:avLst/>
        </a:prstGeom>
        <a:noFill/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050" b="0" i="0">
              <a:solidFill>
                <a:srgbClr val="1E2A26"/>
              </a:solidFill>
              <a:latin typeface="Segoe UI"/>
              <a:cs typeface="Segoe UI"/>
            </a:rPr>
            <a:t>(16,864 + 8,011) / 40,990 × 100</a:t>
          </a:r>
        </a:p>
      </xdr:txBody>
    </xdr:sp>
    <xdr:clientData/>
  </xdr:twoCellAnchor>
  <xdr:twoCellAnchor editAs="absolute">
    <xdr:from>
      <xdr:col>12</xdr:col>
      <xdr:colOff>514350</xdr:colOff>
      <xdr:row>50</xdr:row>
      <xdr:rowOff>76200</xdr:rowOff>
    </xdr:from>
    <xdr:to>
      <xdr:col>15</xdr:col>
      <xdr:colOff>371475</xdr:colOff>
      <xdr:row>52</xdr:row>
      <xdr:rowOff>142875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SpPr txBox="1"/>
      </xdr:nvSpPr>
      <xdr:spPr>
        <a:xfrm>
          <a:off x="7829550" y="9601200"/>
          <a:ext cx="1685925" cy="447675"/>
        </a:xfrm>
        <a:prstGeom prst="rect">
          <a:avLst/>
        </a:prstGeom>
        <a:noFill/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050" b="0" i="0">
              <a:solidFill>
                <a:srgbClr val="1E2A26"/>
              </a:solidFill>
              <a:latin typeface="Segoe UI"/>
              <a:cs typeface="Segoe UI"/>
            </a:rPr>
            <a:t>61%</a:t>
          </a:r>
        </a:p>
      </xdr:txBody>
    </xdr:sp>
    <xdr:clientData/>
  </xdr:twoCellAnchor>
  <xdr:twoCellAnchor editAs="absolute">
    <xdr:from>
      <xdr:col>0</xdr:col>
      <xdr:colOff>495300</xdr:colOff>
      <xdr:row>52</xdr:row>
      <xdr:rowOff>171450</xdr:rowOff>
    </xdr:from>
    <xdr:to>
      <xdr:col>4</xdr:col>
      <xdr:colOff>314325</xdr:colOff>
      <xdr:row>55</xdr:row>
      <xdr:rowOff>47625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 txBox="1"/>
      </xdr:nvSpPr>
      <xdr:spPr>
        <a:xfrm>
          <a:off x="495300" y="10077450"/>
          <a:ext cx="2257425" cy="447675"/>
        </a:xfrm>
        <a:prstGeom prst="rect">
          <a:avLst/>
        </a:prstGeom>
        <a:noFill/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050" b="1" i="0">
              <a:solidFill>
                <a:srgbClr val="1E2A26"/>
              </a:solidFill>
              <a:latin typeface="Segoe UI"/>
              <a:cs typeface="Segoe UI"/>
            </a:rPr>
            <a:t>Import dependence</a:t>
          </a:r>
        </a:p>
      </xdr:txBody>
    </xdr:sp>
    <xdr:clientData/>
  </xdr:twoCellAnchor>
  <xdr:twoCellAnchor editAs="absolute">
    <xdr:from>
      <xdr:col>4</xdr:col>
      <xdr:colOff>342900</xdr:colOff>
      <xdr:row>52</xdr:row>
      <xdr:rowOff>171450</xdr:rowOff>
    </xdr:from>
    <xdr:to>
      <xdr:col>8</xdr:col>
      <xdr:colOff>447675</xdr:colOff>
      <xdr:row>55</xdr:row>
      <xdr:rowOff>47625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 txBox="1"/>
      </xdr:nvSpPr>
      <xdr:spPr>
        <a:xfrm>
          <a:off x="2781300" y="10077450"/>
          <a:ext cx="2543175" cy="447675"/>
        </a:xfrm>
        <a:prstGeom prst="rect">
          <a:avLst/>
        </a:prstGeom>
        <a:noFill/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050" b="0" i="0">
              <a:solidFill>
                <a:srgbClr val="1E2A26"/>
              </a:solidFill>
              <a:latin typeface="Segoe UI"/>
              <a:cs typeface="Segoe UI"/>
            </a:rPr>
            <a:t>Imports / Consumption × 100</a:t>
          </a:r>
        </a:p>
      </xdr:txBody>
    </xdr:sp>
    <xdr:clientData/>
  </xdr:twoCellAnchor>
  <xdr:twoCellAnchor editAs="absolute">
    <xdr:from>
      <xdr:col>8</xdr:col>
      <xdr:colOff>476250</xdr:colOff>
      <xdr:row>52</xdr:row>
      <xdr:rowOff>171450</xdr:rowOff>
    </xdr:from>
    <xdr:to>
      <xdr:col>12</xdr:col>
      <xdr:colOff>485775</xdr:colOff>
      <xdr:row>55</xdr:row>
      <xdr:rowOff>47625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SpPr txBox="1"/>
      </xdr:nvSpPr>
      <xdr:spPr>
        <a:xfrm>
          <a:off x="5353050" y="10077450"/>
          <a:ext cx="2447925" cy="447675"/>
        </a:xfrm>
        <a:prstGeom prst="rect">
          <a:avLst/>
        </a:prstGeom>
        <a:noFill/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050" b="0" i="0">
              <a:solidFill>
                <a:srgbClr val="1E2A26"/>
              </a:solidFill>
              <a:latin typeface="Segoe UI"/>
              <a:cs typeface="Segoe UI"/>
            </a:rPr>
            <a:t>1,200–1,400 / 1,800 × 100</a:t>
          </a:r>
        </a:p>
      </xdr:txBody>
    </xdr:sp>
    <xdr:clientData/>
  </xdr:twoCellAnchor>
  <xdr:twoCellAnchor editAs="absolute">
    <xdr:from>
      <xdr:col>12</xdr:col>
      <xdr:colOff>514350</xdr:colOff>
      <xdr:row>52</xdr:row>
      <xdr:rowOff>171450</xdr:rowOff>
    </xdr:from>
    <xdr:to>
      <xdr:col>15</xdr:col>
      <xdr:colOff>371475</xdr:colOff>
      <xdr:row>55</xdr:row>
      <xdr:rowOff>47625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SpPr txBox="1"/>
      </xdr:nvSpPr>
      <xdr:spPr>
        <a:xfrm>
          <a:off x="7829550" y="10077450"/>
          <a:ext cx="1685925" cy="447675"/>
        </a:xfrm>
        <a:prstGeom prst="rect">
          <a:avLst/>
        </a:prstGeom>
        <a:noFill/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050" b="0" i="0">
              <a:solidFill>
                <a:srgbClr val="1E2A26"/>
              </a:solidFill>
              <a:latin typeface="Segoe UI"/>
              <a:cs typeface="Segoe UI"/>
            </a:rPr>
            <a:t>67–78%</a:t>
          </a:r>
        </a:p>
      </xdr:txBody>
    </xdr:sp>
    <xdr:clientData/>
  </xdr:twoCellAnchor>
  <xdr:twoCellAnchor editAs="absolute">
    <xdr:from>
      <xdr:col>16</xdr:col>
      <xdr:colOff>266700</xdr:colOff>
      <xdr:row>39</xdr:row>
      <xdr:rowOff>114300</xdr:rowOff>
    </xdr:from>
    <xdr:to>
      <xdr:col>24</xdr:col>
      <xdr:colOff>266700</xdr:colOff>
      <xdr:row>56</xdr:row>
      <xdr:rowOff>114300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SpPr txBox="1"/>
      </xdr:nvSpPr>
      <xdr:spPr>
        <a:xfrm>
          <a:off x="10020300" y="7543800"/>
          <a:ext cx="4876800" cy="3238500"/>
        </a:xfrm>
        <a:prstGeom prst="rect">
          <a:avLst/>
        </a:prstGeom>
        <a:solidFill>
          <a:srgbClr val="FFFFFF"/>
        </a:solidFill>
        <a:ln w="9525" cmpd="sng">
          <a:solidFill>
            <a:srgbClr val="E3DED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16</xdr:col>
      <xdr:colOff>438150</xdr:colOff>
      <xdr:row>40</xdr:row>
      <xdr:rowOff>38100</xdr:rowOff>
    </xdr:from>
    <xdr:to>
      <xdr:col>24</xdr:col>
      <xdr:colOff>95250</xdr:colOff>
      <xdr:row>41</xdr:row>
      <xdr:rowOff>95250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SpPr txBox="1"/>
      </xdr:nvSpPr>
      <xdr:spPr>
        <a:xfrm>
          <a:off x="10191750" y="7658100"/>
          <a:ext cx="45339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 i="0">
              <a:solidFill>
                <a:srgbClr val="1E3932"/>
              </a:solidFill>
              <a:latin typeface="Segoe UI"/>
              <a:cs typeface="Segoe UI"/>
            </a:rPr>
            <a:t>Context that shapes entry</a:t>
          </a:r>
        </a:p>
      </xdr:txBody>
    </xdr:sp>
    <xdr:clientData/>
  </xdr:twoCellAnchor>
  <xdr:twoCellAnchor editAs="absolute">
    <xdr:from>
      <xdr:col>16</xdr:col>
      <xdr:colOff>438150</xdr:colOff>
      <xdr:row>41</xdr:row>
      <xdr:rowOff>95250</xdr:rowOff>
    </xdr:from>
    <xdr:to>
      <xdr:col>24</xdr:col>
      <xdr:colOff>95250</xdr:colOff>
      <xdr:row>42</xdr:row>
      <xdr:rowOff>95250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SpPr txBox="1"/>
      </xdr:nvSpPr>
      <xdr:spPr>
        <a:xfrm>
          <a:off x="10191750" y="7905750"/>
          <a:ext cx="45339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0" i="0">
              <a:solidFill>
                <a:srgbClr val="6B7A74"/>
              </a:solidFill>
              <a:latin typeface="Segoe UI"/>
              <a:cs typeface="Segoe UI"/>
            </a:rPr>
            <a:t>World Bank (2025; 2026)</a:t>
          </a:r>
        </a:p>
      </xdr:txBody>
    </xdr:sp>
    <xdr:clientData/>
  </xdr:twoCellAnchor>
  <xdr:twoCellAnchor editAs="absolute">
    <xdr:from>
      <xdr:col>16</xdr:col>
      <xdr:colOff>419100</xdr:colOff>
      <xdr:row>42</xdr:row>
      <xdr:rowOff>171450</xdr:rowOff>
    </xdr:from>
    <xdr:to>
      <xdr:col>19</xdr:col>
      <xdr:colOff>19050</xdr:colOff>
      <xdr:row>44</xdr:row>
      <xdr:rowOff>38100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SpPr txBox="1"/>
      </xdr:nvSpPr>
      <xdr:spPr>
        <a:xfrm>
          <a:off x="10172700" y="8172450"/>
          <a:ext cx="14287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 i="0">
              <a:solidFill>
                <a:srgbClr val="6B7A74"/>
              </a:solidFill>
              <a:latin typeface="Segoe UI"/>
              <a:cs typeface="Segoe UI"/>
            </a:rPr>
            <a:t>Currency</a:t>
          </a:r>
        </a:p>
      </xdr:txBody>
    </xdr:sp>
    <xdr:clientData/>
  </xdr:twoCellAnchor>
  <xdr:twoCellAnchor editAs="absolute">
    <xdr:from>
      <xdr:col>19</xdr:col>
      <xdr:colOff>19050</xdr:colOff>
      <xdr:row>42</xdr:row>
      <xdr:rowOff>171450</xdr:rowOff>
    </xdr:from>
    <xdr:to>
      <xdr:col>24</xdr:col>
      <xdr:colOff>114300</xdr:colOff>
      <xdr:row>44</xdr:row>
      <xdr:rowOff>38100</xdr:rowOff>
    </xdr:to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SpPr txBox="1"/>
      </xdr:nvSpPr>
      <xdr:spPr>
        <a:xfrm>
          <a:off x="11601450" y="8172450"/>
          <a:ext cx="31432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 i="0">
              <a:solidFill>
                <a:srgbClr val="1E3932"/>
              </a:solidFill>
              <a:latin typeface="Segoe UI"/>
              <a:cs typeface="Segoe UI"/>
            </a:rPr>
            <a:t>Indian rupee peg</a:t>
          </a:r>
        </a:p>
      </xdr:txBody>
    </xdr:sp>
    <xdr:clientData/>
  </xdr:twoCellAnchor>
  <xdr:twoCellAnchor editAs="absolute">
    <xdr:from>
      <xdr:col>19</xdr:col>
      <xdr:colOff>19050</xdr:colOff>
      <xdr:row>44</xdr:row>
      <xdr:rowOff>38100</xdr:rowOff>
    </xdr:from>
    <xdr:to>
      <xdr:col>24</xdr:col>
      <xdr:colOff>114300</xdr:colOff>
      <xdr:row>45</xdr:row>
      <xdr:rowOff>76200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SpPr txBox="1"/>
      </xdr:nvSpPr>
      <xdr:spPr>
        <a:xfrm>
          <a:off x="11601450" y="8420100"/>
          <a:ext cx="314325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0" i="0">
              <a:solidFill>
                <a:srgbClr val="6B7A74"/>
              </a:solidFill>
              <a:latin typeface="Segoe UI"/>
              <a:cs typeface="Segoe UI"/>
            </a:rPr>
            <a:t>World Bank (2026)</a:t>
          </a:r>
        </a:p>
      </xdr:txBody>
    </xdr:sp>
    <xdr:clientData/>
  </xdr:twoCellAnchor>
  <xdr:twoCellAnchor editAs="absolute">
    <xdr:from>
      <xdr:col>16</xdr:col>
      <xdr:colOff>419100</xdr:colOff>
      <xdr:row>46</xdr:row>
      <xdr:rowOff>19050</xdr:rowOff>
    </xdr:from>
    <xdr:to>
      <xdr:col>19</xdr:col>
      <xdr:colOff>19050</xdr:colOff>
      <xdr:row>47</xdr:row>
      <xdr:rowOff>76200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SpPr txBox="1"/>
      </xdr:nvSpPr>
      <xdr:spPr>
        <a:xfrm>
          <a:off x="10172700" y="8782050"/>
          <a:ext cx="14287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 i="0">
              <a:solidFill>
                <a:srgbClr val="6B7A74"/>
              </a:solidFill>
              <a:latin typeface="Segoe UI"/>
              <a:cs typeface="Segoe UI"/>
            </a:rPr>
            <a:t>Sept 2025 unrest</a:t>
          </a:r>
        </a:p>
      </xdr:txBody>
    </xdr:sp>
    <xdr:clientData/>
  </xdr:twoCellAnchor>
  <xdr:twoCellAnchor editAs="absolute">
    <xdr:from>
      <xdr:col>19</xdr:col>
      <xdr:colOff>19050</xdr:colOff>
      <xdr:row>46</xdr:row>
      <xdr:rowOff>19050</xdr:rowOff>
    </xdr:from>
    <xdr:to>
      <xdr:col>24</xdr:col>
      <xdr:colOff>114300</xdr:colOff>
      <xdr:row>47</xdr:row>
      <xdr:rowOff>76200</xdr:rowOff>
    </xdr:to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SpPr txBox="1"/>
      </xdr:nvSpPr>
      <xdr:spPr>
        <a:xfrm>
          <a:off x="11601450" y="8782050"/>
          <a:ext cx="31432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 i="0">
              <a:solidFill>
                <a:srgbClr val="1E3932"/>
              </a:solidFill>
              <a:latin typeface="Segoe UI"/>
              <a:cs typeface="Segoe UI"/>
            </a:rPr>
            <a:t>1.3% of GDP in losses</a:t>
          </a:r>
        </a:p>
      </xdr:txBody>
    </xdr:sp>
    <xdr:clientData/>
  </xdr:twoCellAnchor>
  <xdr:twoCellAnchor editAs="absolute">
    <xdr:from>
      <xdr:col>19</xdr:col>
      <xdr:colOff>19050</xdr:colOff>
      <xdr:row>47</xdr:row>
      <xdr:rowOff>76200</xdr:rowOff>
    </xdr:from>
    <xdr:to>
      <xdr:col>24</xdr:col>
      <xdr:colOff>114300</xdr:colOff>
      <xdr:row>48</xdr:row>
      <xdr:rowOff>114300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SpPr txBox="1"/>
      </xdr:nvSpPr>
      <xdr:spPr>
        <a:xfrm>
          <a:off x="11601450" y="9029700"/>
          <a:ext cx="314325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0" i="0">
              <a:solidFill>
                <a:srgbClr val="6B7A74"/>
              </a:solidFill>
              <a:latin typeface="Segoe UI"/>
              <a:cs typeface="Segoe UI"/>
            </a:rPr>
            <a:t>World Bank (2026)</a:t>
          </a:r>
        </a:p>
      </xdr:txBody>
    </xdr:sp>
    <xdr:clientData/>
  </xdr:twoCellAnchor>
  <xdr:twoCellAnchor editAs="absolute">
    <xdr:from>
      <xdr:col>16</xdr:col>
      <xdr:colOff>419100</xdr:colOff>
      <xdr:row>49</xdr:row>
      <xdr:rowOff>57150</xdr:rowOff>
    </xdr:from>
    <xdr:to>
      <xdr:col>19</xdr:col>
      <xdr:colOff>19050</xdr:colOff>
      <xdr:row>50</xdr:row>
      <xdr:rowOff>114300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SpPr txBox="1"/>
      </xdr:nvSpPr>
      <xdr:spPr>
        <a:xfrm>
          <a:off x="10172700" y="9391650"/>
          <a:ext cx="14287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 i="0">
              <a:solidFill>
                <a:srgbClr val="6B7A74"/>
              </a:solidFill>
              <a:latin typeface="Segoe UI"/>
              <a:cs typeface="Segoe UI"/>
            </a:rPr>
            <a:t>FY2026 growth</a:t>
          </a:r>
        </a:p>
      </xdr:txBody>
    </xdr:sp>
    <xdr:clientData/>
  </xdr:twoCellAnchor>
  <xdr:twoCellAnchor editAs="absolute">
    <xdr:from>
      <xdr:col>19</xdr:col>
      <xdr:colOff>19050</xdr:colOff>
      <xdr:row>49</xdr:row>
      <xdr:rowOff>57150</xdr:rowOff>
    </xdr:from>
    <xdr:to>
      <xdr:col>24</xdr:col>
      <xdr:colOff>114300</xdr:colOff>
      <xdr:row>50</xdr:row>
      <xdr:rowOff>114300</xdr:rowOff>
    </xdr:to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SpPr txBox="1"/>
      </xdr:nvSpPr>
      <xdr:spPr>
        <a:xfrm>
          <a:off x="11601450" y="9391650"/>
          <a:ext cx="31432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 i="0">
              <a:solidFill>
                <a:srgbClr val="1E3932"/>
              </a:solidFill>
              <a:latin typeface="Segoe UI"/>
              <a:cs typeface="Segoe UI"/>
            </a:rPr>
            <a:t>2.3% projected (2025: 4.4%)</a:t>
          </a:r>
        </a:p>
      </xdr:txBody>
    </xdr:sp>
    <xdr:clientData/>
  </xdr:twoCellAnchor>
  <xdr:twoCellAnchor editAs="absolute">
    <xdr:from>
      <xdr:col>19</xdr:col>
      <xdr:colOff>19050</xdr:colOff>
      <xdr:row>50</xdr:row>
      <xdr:rowOff>114300</xdr:rowOff>
    </xdr:from>
    <xdr:to>
      <xdr:col>24</xdr:col>
      <xdr:colOff>114300</xdr:colOff>
      <xdr:row>51</xdr:row>
      <xdr:rowOff>152400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SpPr txBox="1"/>
      </xdr:nvSpPr>
      <xdr:spPr>
        <a:xfrm>
          <a:off x="11601450" y="9639300"/>
          <a:ext cx="314325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0" i="0">
              <a:solidFill>
                <a:srgbClr val="6B7A74"/>
              </a:solidFill>
              <a:latin typeface="Segoe UI"/>
              <a:cs typeface="Segoe UI"/>
            </a:rPr>
            <a:t>World Bank (2026)</a:t>
          </a:r>
        </a:p>
      </xdr:txBody>
    </xdr:sp>
    <xdr:clientData/>
  </xdr:twoCellAnchor>
  <xdr:twoCellAnchor editAs="absolute">
    <xdr:from>
      <xdr:col>16</xdr:col>
      <xdr:colOff>419100</xdr:colOff>
      <xdr:row>52</xdr:row>
      <xdr:rowOff>95250</xdr:rowOff>
    </xdr:from>
    <xdr:to>
      <xdr:col>19</xdr:col>
      <xdr:colOff>19050</xdr:colOff>
      <xdr:row>53</xdr:row>
      <xdr:rowOff>152400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SpPr txBox="1"/>
      </xdr:nvSpPr>
      <xdr:spPr>
        <a:xfrm>
          <a:off x="10172700" y="10001250"/>
          <a:ext cx="14287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 i="0">
              <a:solidFill>
                <a:srgbClr val="6B7A74"/>
              </a:solidFill>
              <a:latin typeface="Segoe UI"/>
              <a:cs typeface="Segoe UI"/>
            </a:rPr>
            <a:t>Remittances</a:t>
          </a:r>
        </a:p>
      </xdr:txBody>
    </xdr:sp>
    <xdr:clientData/>
  </xdr:twoCellAnchor>
  <xdr:twoCellAnchor editAs="absolute">
    <xdr:from>
      <xdr:col>19</xdr:col>
      <xdr:colOff>19050</xdr:colOff>
      <xdr:row>52</xdr:row>
      <xdr:rowOff>95250</xdr:rowOff>
    </xdr:from>
    <xdr:to>
      <xdr:col>24</xdr:col>
      <xdr:colOff>114300</xdr:colOff>
      <xdr:row>53</xdr:row>
      <xdr:rowOff>152400</xdr:rowOff>
    </xdr:to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SpPr txBox="1"/>
      </xdr:nvSpPr>
      <xdr:spPr>
        <a:xfrm>
          <a:off x="11601450" y="10001250"/>
          <a:ext cx="31432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 i="0">
              <a:solidFill>
                <a:srgbClr val="1E3932"/>
              </a:solidFill>
              <a:latin typeface="Segoe UI"/>
              <a:cs typeface="Segoe UI"/>
            </a:rPr>
            <a:t>26% of GDP (2024)</a:t>
          </a:r>
        </a:p>
      </xdr:txBody>
    </xdr:sp>
    <xdr:clientData/>
  </xdr:twoCellAnchor>
  <xdr:twoCellAnchor editAs="absolute">
    <xdr:from>
      <xdr:col>19</xdr:col>
      <xdr:colOff>19050</xdr:colOff>
      <xdr:row>53</xdr:row>
      <xdr:rowOff>152400</xdr:rowOff>
    </xdr:from>
    <xdr:to>
      <xdr:col>24</xdr:col>
      <xdr:colOff>114300</xdr:colOff>
      <xdr:row>55</xdr:row>
      <xdr:rowOff>0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SpPr txBox="1"/>
      </xdr:nvSpPr>
      <xdr:spPr>
        <a:xfrm>
          <a:off x="11601450" y="10248900"/>
          <a:ext cx="314325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0" i="0">
              <a:solidFill>
                <a:srgbClr val="6B7A74"/>
              </a:solidFill>
              <a:latin typeface="Segoe UI"/>
              <a:cs typeface="Segoe UI"/>
            </a:rPr>
            <a:t>World Bank (2025)</a:t>
          </a:r>
        </a:p>
      </xdr:txBody>
    </xdr:sp>
    <xdr:clientData/>
  </xdr:twoCellAnchor>
  <xdr:twoCellAnchor editAs="absolute">
    <xdr:from>
      <xdr:col>0</xdr:col>
      <xdr:colOff>342900</xdr:colOff>
      <xdr:row>57</xdr:row>
      <xdr:rowOff>57150</xdr:rowOff>
    </xdr:from>
    <xdr:to>
      <xdr:col>24</xdr:col>
      <xdr:colOff>266700</xdr:colOff>
      <xdr:row>1048576</xdr:row>
      <xdr:rowOff>57150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SpPr txBox="1"/>
      </xdr:nvSpPr>
      <xdr:spPr>
        <a:xfrm>
          <a:off x="342900" y="10915650"/>
          <a:ext cx="1455420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0" i="1">
              <a:solidFill>
                <a:srgbClr val="6B7A74"/>
              </a:solidFill>
              <a:latin typeface="Segoe UI"/>
              <a:cs typeface="Segoe UI"/>
            </a:rPr>
            <a:t>Sources: World Bank (2025; 2026) · Nepal Tourism Board · Lamichhane and Malla (2025) · Culture Factor Group (2026). Derived figures are author's calculations.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25</xdr:col>
      <xdr:colOff>0</xdr:colOff>
      <xdr:row>3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0" y="0"/>
          <a:ext cx="15240000" cy="742950"/>
        </a:xfrm>
        <a:prstGeom prst="rect">
          <a:avLst/>
        </a:prstGeom>
        <a:gradFill>
          <a:gsLst>
            <a:gs pos="0">
              <a:srgbClr val="1E3932"/>
            </a:gs>
            <a:gs pos="100000">
              <a:srgbClr val="2C5A4C"/>
            </a:gs>
          </a:gsLst>
          <a:lin ang="1200000" scaled="0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0</xdr:col>
      <xdr:colOff>342900</xdr:colOff>
      <xdr:row>0</xdr:row>
      <xdr:rowOff>133350</xdr:rowOff>
    </xdr:from>
    <xdr:to>
      <xdr:col>9</xdr:col>
      <xdr:colOff>190500</xdr:colOff>
      <xdr:row>3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342900" y="133350"/>
          <a:ext cx="5334000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800" b="1" i="0">
              <a:solidFill>
                <a:srgbClr val="FFFFFF"/>
              </a:solidFill>
              <a:latin typeface="Segoe UI"/>
              <a:cs typeface="Segoe UI"/>
            </a:rPr>
            <a:t>STARBUCKS ×Strategy</a:t>
          </a:r>
        </a:p>
      </xdr:txBody>
    </xdr:sp>
    <xdr:clientData/>
  </xdr:twoCellAnchor>
  <xdr:twoCellAnchor editAs="absolute">
    <xdr:from>
      <xdr:col>11</xdr:col>
      <xdr:colOff>533400</xdr:colOff>
      <xdr:row>0</xdr:row>
      <xdr:rowOff>180975</xdr:rowOff>
    </xdr:from>
    <xdr:to>
      <xdr:col>14</xdr:col>
      <xdr:colOff>133350</xdr:colOff>
      <xdr:row>2</xdr:row>
      <xdr:rowOff>180975</xdr:rowOff>
    </xdr:to>
    <xdr:sp macro="" textlink="">
      <xdr:nvSpPr>
        <xdr:cNvPr id="4" name="TextBox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7239000" y="180975"/>
          <a:ext cx="1428750" cy="381000"/>
        </a:xfrm>
        <a:prstGeom prst="rect">
          <a:avLst/>
        </a:prstGeom>
        <a:noFill/>
        <a:ln w="9525" cmpd="sng">
          <a:solidFill>
            <a:srgbClr val="6F8F8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100" b="1" i="0">
              <a:solidFill>
                <a:srgbClr val="DDE8E3"/>
              </a:solidFill>
              <a:latin typeface="Segoe UI"/>
              <a:cs typeface="Segoe UI"/>
            </a:rPr>
            <a:t>Overview</a:t>
          </a:r>
        </a:p>
      </xdr:txBody>
    </xdr:sp>
    <xdr:clientData/>
  </xdr:twoCellAnchor>
  <xdr:twoCellAnchor editAs="absolute">
    <xdr:from>
      <xdr:col>14</xdr:col>
      <xdr:colOff>228600</xdr:colOff>
      <xdr:row>0</xdr:row>
      <xdr:rowOff>180975</xdr:rowOff>
    </xdr:from>
    <xdr:to>
      <xdr:col>16</xdr:col>
      <xdr:colOff>438150</xdr:colOff>
      <xdr:row>2</xdr:row>
      <xdr:rowOff>180975</xdr:rowOff>
    </xdr:to>
    <xdr:sp macro="" textlink="">
      <xdr:nvSpPr>
        <xdr:cNvPr id="5" name="TextBox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8763000" y="180975"/>
          <a:ext cx="1428750" cy="381000"/>
        </a:xfrm>
        <a:prstGeom prst="rect">
          <a:avLst/>
        </a:prstGeom>
        <a:noFill/>
        <a:ln w="9525" cmpd="sng">
          <a:solidFill>
            <a:srgbClr val="6F8F8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100" b="1" i="0">
              <a:solidFill>
                <a:srgbClr val="DDE8E3"/>
              </a:solidFill>
              <a:latin typeface="Segoe UI"/>
              <a:cs typeface="Segoe UI"/>
            </a:rPr>
            <a:t>Starbucks</a:t>
          </a:r>
        </a:p>
      </xdr:txBody>
    </xdr:sp>
    <xdr:clientData/>
  </xdr:twoCellAnchor>
  <xdr:twoCellAnchor editAs="absolute">
    <xdr:from>
      <xdr:col>16</xdr:col>
      <xdr:colOff>533400</xdr:colOff>
      <xdr:row>0</xdr:row>
      <xdr:rowOff>180975</xdr:rowOff>
    </xdr:from>
    <xdr:to>
      <xdr:col>19</xdr:col>
      <xdr:colOff>133350</xdr:colOff>
      <xdr:row>2</xdr:row>
      <xdr:rowOff>180975</xdr:rowOff>
    </xdr:to>
    <xdr:sp macro="" textlink="">
      <xdr:nvSpPr>
        <xdr:cNvPr id="6" name="TextBox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10287000" y="180975"/>
          <a:ext cx="1428750" cy="381000"/>
        </a:xfrm>
        <a:prstGeom prst="rect">
          <a:avLst/>
        </a:prstGeom>
        <a:noFill/>
        <a:ln w="9525" cmpd="sng">
          <a:solidFill>
            <a:srgbClr val="6F8F8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100" b="1" i="0">
              <a:solidFill>
                <a:srgbClr val="DDE8E3"/>
              </a:solidFill>
              <a:latin typeface="Segoe UI"/>
              <a:cs typeface="Segoe UI"/>
            </a:rPr>
            <a:t>Nepal</a:t>
          </a:r>
        </a:p>
      </xdr:txBody>
    </xdr:sp>
    <xdr:clientData/>
  </xdr:twoCellAnchor>
  <xdr:twoCellAnchor editAs="absolute">
    <xdr:from>
      <xdr:col>19</xdr:col>
      <xdr:colOff>228600</xdr:colOff>
      <xdr:row>0</xdr:row>
      <xdr:rowOff>180975</xdr:rowOff>
    </xdr:from>
    <xdr:to>
      <xdr:col>21</xdr:col>
      <xdr:colOff>438150</xdr:colOff>
      <xdr:row>2</xdr:row>
      <xdr:rowOff>180975</xdr:rowOff>
    </xdr:to>
    <xdr:sp macro="" textlink="">
      <xdr:nvSpPr>
        <xdr:cNvPr id="7" name="TextBox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11811000" y="180975"/>
          <a:ext cx="1428750" cy="381000"/>
        </a:xfrm>
        <a:prstGeom prst="rect">
          <a:avLst/>
        </a:prstGeom>
        <a:solidFill>
          <a:srgbClr val="CBA258"/>
        </a:solidFill>
        <a:ln w="9525" cmpd="sng">
          <a:solidFill>
            <a:srgbClr val="CBA258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100" b="1" i="0">
              <a:solidFill>
                <a:srgbClr val="1E3932"/>
              </a:solidFill>
              <a:latin typeface="Segoe UI"/>
              <a:cs typeface="Segoe UI"/>
            </a:rPr>
            <a:t>Strategy</a:t>
          </a:r>
        </a:p>
      </xdr:txBody>
    </xdr:sp>
    <xdr:clientData/>
  </xdr:twoCellAnchor>
  <xdr:twoCellAnchor editAs="absolute">
    <xdr:from>
      <xdr:col>21</xdr:col>
      <xdr:colOff>533400</xdr:colOff>
      <xdr:row>0</xdr:row>
      <xdr:rowOff>180975</xdr:rowOff>
    </xdr:from>
    <xdr:to>
      <xdr:col>24</xdr:col>
      <xdr:colOff>133350</xdr:colOff>
      <xdr:row>2</xdr:row>
      <xdr:rowOff>180975</xdr:rowOff>
    </xdr:to>
    <xdr:sp macro="" textlink="">
      <xdr:nvSpPr>
        <xdr:cNvPr id="8" name="TextBox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 txBox="1"/>
      </xdr:nvSpPr>
      <xdr:spPr>
        <a:xfrm>
          <a:off x="13335000" y="180975"/>
          <a:ext cx="1428750" cy="381000"/>
        </a:xfrm>
        <a:prstGeom prst="rect">
          <a:avLst/>
        </a:prstGeom>
        <a:noFill/>
        <a:ln w="9525" cmpd="sng">
          <a:solidFill>
            <a:srgbClr val="6F8F8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100" b="1" i="0">
              <a:solidFill>
                <a:srgbClr val="DDE8E3"/>
              </a:solidFill>
              <a:latin typeface="Segoe UI"/>
              <a:cs typeface="Segoe UI"/>
            </a:rPr>
            <a:t>Sources</a:t>
          </a:r>
        </a:p>
      </xdr:txBody>
    </xdr:sp>
    <xdr:clientData/>
  </xdr:twoCellAnchor>
  <xdr:twoCellAnchor editAs="absolute">
    <xdr:from>
      <xdr:col>0</xdr:col>
      <xdr:colOff>342900</xdr:colOff>
      <xdr:row>4</xdr:row>
      <xdr:rowOff>152400</xdr:rowOff>
    </xdr:from>
    <xdr:to>
      <xdr:col>13</xdr:col>
      <xdr:colOff>38100</xdr:colOff>
      <xdr:row>6</xdr:row>
      <xdr:rowOff>152400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/>
      </xdr:nvSpPr>
      <xdr:spPr>
        <a:xfrm>
          <a:off x="342900" y="914400"/>
          <a:ext cx="762000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2600" b="1" i="0">
              <a:solidFill>
                <a:srgbClr val="1E3932"/>
              </a:solidFill>
              <a:latin typeface="Segoe UI"/>
              <a:cs typeface="Segoe UI"/>
            </a:rPr>
            <a:t>Strategy</a:t>
          </a:r>
        </a:p>
      </xdr:txBody>
    </xdr:sp>
    <xdr:clientData/>
  </xdr:twoCellAnchor>
  <xdr:twoCellAnchor editAs="absolute">
    <xdr:from>
      <xdr:col>0</xdr:col>
      <xdr:colOff>342900</xdr:colOff>
      <xdr:row>6</xdr:row>
      <xdr:rowOff>171450</xdr:rowOff>
    </xdr:from>
    <xdr:to>
      <xdr:col>24</xdr:col>
      <xdr:colOff>0</xdr:colOff>
      <xdr:row>8</xdr:row>
      <xdr:rowOff>57150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342900" y="1314450"/>
          <a:ext cx="142875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 b="0" i="0">
              <a:solidFill>
                <a:srgbClr val="6B7A74"/>
              </a:solidFill>
              <a:latin typeface="Segoe UI"/>
              <a:cs typeface="Segoe UI"/>
            </a:rPr>
            <a:t>Why equity entry (OLI), which resources transfer (VRIN), what the law allows (FITTA) and why a joint venture</a:t>
          </a:r>
        </a:p>
      </xdr:txBody>
    </xdr:sp>
    <xdr:clientData/>
  </xdr:twoCellAnchor>
  <xdr:twoCellAnchor editAs="absolute">
    <xdr:from>
      <xdr:col>0</xdr:col>
      <xdr:colOff>342900</xdr:colOff>
      <xdr:row>9</xdr:row>
      <xdr:rowOff>0</xdr:rowOff>
    </xdr:from>
    <xdr:to>
      <xdr:col>8</xdr:col>
      <xdr:colOff>228600</xdr:colOff>
      <xdr:row>20</xdr:row>
      <xdr:rowOff>152400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 txBox="1"/>
      </xdr:nvSpPr>
      <xdr:spPr>
        <a:xfrm>
          <a:off x="342900" y="1714500"/>
          <a:ext cx="4762500" cy="2247900"/>
        </a:xfrm>
        <a:prstGeom prst="rect">
          <a:avLst/>
        </a:prstGeom>
        <a:solidFill>
          <a:srgbClr val="FFFFFF"/>
        </a:solidFill>
        <a:ln w="9525" cmpd="sng">
          <a:solidFill>
            <a:srgbClr val="E3DED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0</xdr:col>
      <xdr:colOff>342900</xdr:colOff>
      <xdr:row>9</xdr:row>
      <xdr:rowOff>0</xdr:rowOff>
    </xdr:from>
    <xdr:to>
      <xdr:col>0</xdr:col>
      <xdr:colOff>409575</xdr:colOff>
      <xdr:row>20</xdr:row>
      <xdr:rowOff>152400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 txBox="1"/>
      </xdr:nvSpPr>
      <xdr:spPr>
        <a:xfrm>
          <a:off x="342900" y="1714500"/>
          <a:ext cx="66675" cy="2247900"/>
        </a:xfrm>
        <a:prstGeom prst="rect">
          <a:avLst/>
        </a:prstGeom>
        <a:solidFill>
          <a:srgbClr val="1E393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0</xdr:col>
      <xdr:colOff>552450</xdr:colOff>
      <xdr:row>9</xdr:row>
      <xdr:rowOff>114300</xdr:rowOff>
    </xdr:from>
    <xdr:to>
      <xdr:col>8</xdr:col>
      <xdr:colOff>57150</xdr:colOff>
      <xdr:row>11</xdr:row>
      <xdr:rowOff>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 txBox="1"/>
      </xdr:nvSpPr>
      <xdr:spPr>
        <a:xfrm>
          <a:off x="552450" y="1828800"/>
          <a:ext cx="43815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400" b="1" i="0">
              <a:solidFill>
                <a:srgbClr val="1E3932"/>
              </a:solidFill>
              <a:latin typeface="Segoe UI"/>
              <a:cs typeface="Segoe UI"/>
            </a:rPr>
            <a:t>Ownership (O)</a:t>
          </a:r>
        </a:p>
      </xdr:txBody>
    </xdr:sp>
    <xdr:clientData/>
  </xdr:twoCellAnchor>
  <xdr:twoCellAnchor editAs="absolute">
    <xdr:from>
      <xdr:col>0</xdr:col>
      <xdr:colOff>552450</xdr:colOff>
      <xdr:row>11</xdr:row>
      <xdr:rowOff>38100</xdr:rowOff>
    </xdr:from>
    <xdr:to>
      <xdr:col>8</xdr:col>
      <xdr:colOff>57150</xdr:colOff>
      <xdr:row>12</xdr:row>
      <xdr:rowOff>38100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 txBox="1"/>
      </xdr:nvSpPr>
      <xdr:spPr>
        <a:xfrm>
          <a:off x="552450" y="2133600"/>
          <a:ext cx="43815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800" b="1" i="0">
              <a:solidFill>
                <a:srgbClr val="6B7A74"/>
              </a:solidFill>
              <a:latin typeface="Segoe UI"/>
              <a:cs typeface="Segoe UI"/>
            </a:rPr>
            <a:t>STARBUCKS' POSITION</a:t>
          </a:r>
        </a:p>
      </xdr:txBody>
    </xdr:sp>
    <xdr:clientData/>
  </xdr:twoCellAnchor>
  <xdr:twoCellAnchor editAs="absolute">
    <xdr:from>
      <xdr:col>0</xdr:col>
      <xdr:colOff>552450</xdr:colOff>
      <xdr:row>12</xdr:row>
      <xdr:rowOff>38100</xdr:rowOff>
    </xdr:from>
    <xdr:to>
      <xdr:col>8</xdr:col>
      <xdr:colOff>57150</xdr:colOff>
      <xdr:row>15</xdr:row>
      <xdr:rowOff>171450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 txBox="1"/>
      </xdr:nvSpPr>
      <xdr:spPr>
        <a:xfrm>
          <a:off x="552450" y="2324100"/>
          <a:ext cx="4381500" cy="704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 b="0" i="0">
              <a:solidFill>
                <a:srgbClr val="1E2A26"/>
              </a:solidFill>
              <a:latin typeface="Segoe UI"/>
              <a:cs typeface="Segoe UI"/>
            </a:rPr>
            <a:t>Brand equity, roasting technology, store operating systems, digital platform</a:t>
          </a:r>
        </a:p>
      </xdr:txBody>
    </xdr:sp>
    <xdr:clientData/>
  </xdr:twoCellAnchor>
  <xdr:twoCellAnchor editAs="absolute">
    <xdr:from>
      <xdr:col>0</xdr:col>
      <xdr:colOff>552450</xdr:colOff>
      <xdr:row>16</xdr:row>
      <xdr:rowOff>19050</xdr:rowOff>
    </xdr:from>
    <xdr:to>
      <xdr:col>8</xdr:col>
      <xdr:colOff>57150</xdr:colOff>
      <xdr:row>17</xdr:row>
      <xdr:rowOff>19050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 txBox="1"/>
      </xdr:nvSpPr>
      <xdr:spPr>
        <a:xfrm>
          <a:off x="552450" y="3067050"/>
          <a:ext cx="43815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800" b="1" i="0">
              <a:solidFill>
                <a:srgbClr val="6B7A74"/>
              </a:solidFill>
              <a:latin typeface="Segoe UI"/>
              <a:cs typeface="Segoe UI"/>
            </a:rPr>
            <a:t>EVIDENCE</a:t>
          </a:r>
        </a:p>
      </xdr:txBody>
    </xdr:sp>
    <xdr:clientData/>
  </xdr:twoCellAnchor>
  <xdr:twoCellAnchor editAs="absolute">
    <xdr:from>
      <xdr:col>0</xdr:col>
      <xdr:colOff>552450</xdr:colOff>
      <xdr:row>17</xdr:row>
      <xdr:rowOff>19050</xdr:rowOff>
    </xdr:from>
    <xdr:to>
      <xdr:col>8</xdr:col>
      <xdr:colOff>57150</xdr:colOff>
      <xdr:row>19</xdr:row>
      <xdr:rowOff>95250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 txBox="1"/>
      </xdr:nvSpPr>
      <xdr:spPr>
        <a:xfrm>
          <a:off x="552450" y="3257550"/>
          <a:ext cx="4381500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 b="0" i="0">
              <a:solidFill>
                <a:srgbClr val="1E2A26"/>
              </a:solidFill>
              <a:latin typeface="Segoe UI"/>
              <a:cs typeface="Segoe UI"/>
            </a:rPr>
            <a:t>40,990 stores; US$37.2bn revenue FY2025</a:t>
          </a:r>
        </a:p>
      </xdr:txBody>
    </xdr:sp>
    <xdr:clientData/>
  </xdr:twoCellAnchor>
  <xdr:twoCellAnchor editAs="absolute">
    <xdr:from>
      <xdr:col>0</xdr:col>
      <xdr:colOff>552450</xdr:colOff>
      <xdr:row>19</xdr:row>
      <xdr:rowOff>114300</xdr:rowOff>
    </xdr:from>
    <xdr:to>
      <xdr:col>8</xdr:col>
      <xdr:colOff>57150</xdr:colOff>
      <xdr:row>20</xdr:row>
      <xdr:rowOff>114300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 txBox="1"/>
      </xdr:nvSpPr>
      <xdr:spPr>
        <a:xfrm>
          <a:off x="552450" y="3733800"/>
          <a:ext cx="43815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800" b="0" i="1">
              <a:solidFill>
                <a:srgbClr val="6B7A74"/>
              </a:solidFill>
              <a:latin typeface="Segoe UI"/>
              <a:cs typeface="Segoe UI"/>
            </a:rPr>
            <a:t>Starbucks (2025a)</a:t>
          </a:r>
        </a:p>
      </xdr:txBody>
    </xdr:sp>
    <xdr:clientData/>
  </xdr:twoCellAnchor>
  <xdr:twoCellAnchor editAs="absolute">
    <xdr:from>
      <xdr:col>8</xdr:col>
      <xdr:colOff>361950</xdr:colOff>
      <xdr:row>9</xdr:row>
      <xdr:rowOff>0</xdr:rowOff>
    </xdr:from>
    <xdr:to>
      <xdr:col>16</xdr:col>
      <xdr:colOff>247650</xdr:colOff>
      <xdr:row>20</xdr:row>
      <xdr:rowOff>152400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5238750" y="1714500"/>
          <a:ext cx="4762500" cy="2247900"/>
        </a:xfrm>
        <a:prstGeom prst="rect">
          <a:avLst/>
        </a:prstGeom>
        <a:solidFill>
          <a:srgbClr val="FFFFFF"/>
        </a:solidFill>
        <a:ln w="9525" cmpd="sng">
          <a:solidFill>
            <a:srgbClr val="E3DED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8</xdr:col>
      <xdr:colOff>361950</xdr:colOff>
      <xdr:row>9</xdr:row>
      <xdr:rowOff>0</xdr:rowOff>
    </xdr:from>
    <xdr:to>
      <xdr:col>8</xdr:col>
      <xdr:colOff>428625</xdr:colOff>
      <xdr:row>20</xdr:row>
      <xdr:rowOff>152400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 txBox="1"/>
      </xdr:nvSpPr>
      <xdr:spPr>
        <a:xfrm>
          <a:off x="5238750" y="1714500"/>
          <a:ext cx="66675" cy="2247900"/>
        </a:xfrm>
        <a:prstGeom prst="rect">
          <a:avLst/>
        </a:prstGeom>
        <a:solidFill>
          <a:srgbClr val="00704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8</xdr:col>
      <xdr:colOff>571500</xdr:colOff>
      <xdr:row>9</xdr:row>
      <xdr:rowOff>114300</xdr:rowOff>
    </xdr:from>
    <xdr:to>
      <xdr:col>16</xdr:col>
      <xdr:colOff>76200</xdr:colOff>
      <xdr:row>11</xdr:row>
      <xdr:rowOff>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 txBox="1"/>
      </xdr:nvSpPr>
      <xdr:spPr>
        <a:xfrm>
          <a:off x="5448300" y="1828800"/>
          <a:ext cx="43815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400" b="1" i="0">
              <a:solidFill>
                <a:srgbClr val="1E3932"/>
              </a:solidFill>
              <a:latin typeface="Segoe UI"/>
              <a:cs typeface="Segoe UI"/>
            </a:rPr>
            <a:t>Location (L)</a:t>
          </a:r>
        </a:p>
      </xdr:txBody>
    </xdr:sp>
    <xdr:clientData/>
  </xdr:twoCellAnchor>
  <xdr:twoCellAnchor editAs="absolute">
    <xdr:from>
      <xdr:col>8</xdr:col>
      <xdr:colOff>571500</xdr:colOff>
      <xdr:row>11</xdr:row>
      <xdr:rowOff>38100</xdr:rowOff>
    </xdr:from>
    <xdr:to>
      <xdr:col>16</xdr:col>
      <xdr:colOff>76200</xdr:colOff>
      <xdr:row>12</xdr:row>
      <xdr:rowOff>38100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 txBox="1"/>
      </xdr:nvSpPr>
      <xdr:spPr>
        <a:xfrm>
          <a:off x="5448300" y="2133600"/>
          <a:ext cx="43815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800" b="1" i="0">
              <a:solidFill>
                <a:srgbClr val="6B7A74"/>
              </a:solidFill>
              <a:latin typeface="Segoe UI"/>
              <a:cs typeface="Segoe UI"/>
            </a:rPr>
            <a:t>STARBUCKS' POSITION</a:t>
          </a:r>
        </a:p>
      </xdr:txBody>
    </xdr:sp>
    <xdr:clientData/>
  </xdr:twoCellAnchor>
  <xdr:twoCellAnchor editAs="absolute">
    <xdr:from>
      <xdr:col>8</xdr:col>
      <xdr:colOff>571500</xdr:colOff>
      <xdr:row>12</xdr:row>
      <xdr:rowOff>38100</xdr:rowOff>
    </xdr:from>
    <xdr:to>
      <xdr:col>16</xdr:col>
      <xdr:colOff>76200</xdr:colOff>
      <xdr:row>15</xdr:row>
      <xdr:rowOff>171450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 txBox="1"/>
      </xdr:nvSpPr>
      <xdr:spPr>
        <a:xfrm>
          <a:off x="5448300" y="2324100"/>
          <a:ext cx="4381500" cy="704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 b="0" i="0">
              <a:solidFill>
                <a:srgbClr val="1E2A26"/>
              </a:solidFill>
              <a:latin typeface="Segoe UI"/>
              <a:cs typeface="Segoe UI"/>
            </a:rPr>
            <a:t>29.6m consumers, high-altitude Arabica, 385 MW hydropower added H1FY2026</a:t>
          </a:r>
        </a:p>
      </xdr:txBody>
    </xdr:sp>
    <xdr:clientData/>
  </xdr:twoCellAnchor>
  <xdr:twoCellAnchor editAs="absolute">
    <xdr:from>
      <xdr:col>8</xdr:col>
      <xdr:colOff>571500</xdr:colOff>
      <xdr:row>16</xdr:row>
      <xdr:rowOff>19050</xdr:rowOff>
    </xdr:from>
    <xdr:to>
      <xdr:col>16</xdr:col>
      <xdr:colOff>76200</xdr:colOff>
      <xdr:row>17</xdr:row>
      <xdr:rowOff>19050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 txBox="1"/>
      </xdr:nvSpPr>
      <xdr:spPr>
        <a:xfrm>
          <a:off x="5448300" y="3067050"/>
          <a:ext cx="43815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800" b="1" i="0">
              <a:solidFill>
                <a:srgbClr val="6B7A74"/>
              </a:solidFill>
              <a:latin typeface="Segoe UI"/>
              <a:cs typeface="Segoe UI"/>
            </a:rPr>
            <a:t>EVIDENCE</a:t>
          </a:r>
        </a:p>
      </xdr:txBody>
    </xdr:sp>
    <xdr:clientData/>
  </xdr:twoCellAnchor>
  <xdr:twoCellAnchor editAs="absolute">
    <xdr:from>
      <xdr:col>8</xdr:col>
      <xdr:colOff>571500</xdr:colOff>
      <xdr:row>17</xdr:row>
      <xdr:rowOff>19050</xdr:rowOff>
    </xdr:from>
    <xdr:to>
      <xdr:col>16</xdr:col>
      <xdr:colOff>76200</xdr:colOff>
      <xdr:row>19</xdr:row>
      <xdr:rowOff>95250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 txBox="1"/>
      </xdr:nvSpPr>
      <xdr:spPr>
        <a:xfrm>
          <a:off x="5448300" y="3257550"/>
          <a:ext cx="4381500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 b="0" i="0">
              <a:solidFill>
                <a:srgbClr val="1E2A26"/>
              </a:solidFill>
              <a:latin typeface="Segoe UI"/>
              <a:cs typeface="Segoe UI"/>
            </a:rPr>
            <a:t>Population 29,618,118; 385 MW added</a:t>
          </a:r>
        </a:p>
      </xdr:txBody>
    </xdr:sp>
    <xdr:clientData/>
  </xdr:twoCellAnchor>
  <xdr:twoCellAnchor editAs="absolute">
    <xdr:from>
      <xdr:col>8</xdr:col>
      <xdr:colOff>571500</xdr:colOff>
      <xdr:row>19</xdr:row>
      <xdr:rowOff>114300</xdr:rowOff>
    </xdr:from>
    <xdr:to>
      <xdr:col>16</xdr:col>
      <xdr:colOff>76200</xdr:colOff>
      <xdr:row>20</xdr:row>
      <xdr:rowOff>114300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 txBox="1"/>
      </xdr:nvSpPr>
      <xdr:spPr>
        <a:xfrm>
          <a:off x="5448300" y="3733800"/>
          <a:ext cx="43815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800" b="0" i="1">
              <a:solidFill>
                <a:srgbClr val="6B7A74"/>
              </a:solidFill>
              <a:latin typeface="Segoe UI"/>
              <a:cs typeface="Segoe UI"/>
            </a:rPr>
            <a:t>World Bank (2025; 2026)</a:t>
          </a:r>
        </a:p>
      </xdr:txBody>
    </xdr:sp>
    <xdr:clientData/>
  </xdr:twoCellAnchor>
  <xdr:twoCellAnchor editAs="absolute">
    <xdr:from>
      <xdr:col>16</xdr:col>
      <xdr:colOff>381000</xdr:colOff>
      <xdr:row>9</xdr:row>
      <xdr:rowOff>0</xdr:rowOff>
    </xdr:from>
    <xdr:to>
      <xdr:col>24</xdr:col>
      <xdr:colOff>266700</xdr:colOff>
      <xdr:row>20</xdr:row>
      <xdr:rowOff>152400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 txBox="1"/>
      </xdr:nvSpPr>
      <xdr:spPr>
        <a:xfrm>
          <a:off x="10134600" y="1714500"/>
          <a:ext cx="4762500" cy="2247900"/>
        </a:xfrm>
        <a:prstGeom prst="rect">
          <a:avLst/>
        </a:prstGeom>
        <a:solidFill>
          <a:srgbClr val="FFFFFF"/>
        </a:solidFill>
        <a:ln w="9525" cmpd="sng">
          <a:solidFill>
            <a:srgbClr val="E3DED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16</xdr:col>
      <xdr:colOff>381000</xdr:colOff>
      <xdr:row>9</xdr:row>
      <xdr:rowOff>0</xdr:rowOff>
    </xdr:from>
    <xdr:to>
      <xdr:col>16</xdr:col>
      <xdr:colOff>447675</xdr:colOff>
      <xdr:row>20</xdr:row>
      <xdr:rowOff>152400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 txBox="1"/>
      </xdr:nvSpPr>
      <xdr:spPr>
        <a:xfrm>
          <a:off x="10134600" y="1714500"/>
          <a:ext cx="66675" cy="2247900"/>
        </a:xfrm>
        <a:prstGeom prst="rect">
          <a:avLst/>
        </a:prstGeom>
        <a:solidFill>
          <a:srgbClr val="CBA258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16</xdr:col>
      <xdr:colOff>590550</xdr:colOff>
      <xdr:row>9</xdr:row>
      <xdr:rowOff>114300</xdr:rowOff>
    </xdr:from>
    <xdr:to>
      <xdr:col>24</xdr:col>
      <xdr:colOff>95250</xdr:colOff>
      <xdr:row>11</xdr:row>
      <xdr:rowOff>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 txBox="1"/>
      </xdr:nvSpPr>
      <xdr:spPr>
        <a:xfrm>
          <a:off x="10344150" y="1828800"/>
          <a:ext cx="43815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400" b="1" i="0">
              <a:solidFill>
                <a:srgbClr val="1E3932"/>
              </a:solidFill>
              <a:latin typeface="Segoe UI"/>
              <a:cs typeface="Segoe UI"/>
            </a:rPr>
            <a:t>Internalisation (I)</a:t>
          </a:r>
        </a:p>
      </xdr:txBody>
    </xdr:sp>
    <xdr:clientData/>
  </xdr:twoCellAnchor>
  <xdr:twoCellAnchor editAs="absolute">
    <xdr:from>
      <xdr:col>16</xdr:col>
      <xdr:colOff>590550</xdr:colOff>
      <xdr:row>11</xdr:row>
      <xdr:rowOff>38100</xdr:rowOff>
    </xdr:from>
    <xdr:to>
      <xdr:col>24</xdr:col>
      <xdr:colOff>95250</xdr:colOff>
      <xdr:row>12</xdr:row>
      <xdr:rowOff>38100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 txBox="1"/>
      </xdr:nvSpPr>
      <xdr:spPr>
        <a:xfrm>
          <a:off x="10344150" y="2133600"/>
          <a:ext cx="43815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800" b="1" i="0">
              <a:solidFill>
                <a:srgbClr val="6B7A74"/>
              </a:solidFill>
              <a:latin typeface="Segoe UI"/>
              <a:cs typeface="Segoe UI"/>
            </a:rPr>
            <a:t>STARBUCKS' POSITION</a:t>
          </a:r>
        </a:p>
      </xdr:txBody>
    </xdr:sp>
    <xdr:clientData/>
  </xdr:twoCellAnchor>
  <xdr:twoCellAnchor editAs="absolute">
    <xdr:from>
      <xdr:col>16</xdr:col>
      <xdr:colOff>590550</xdr:colOff>
      <xdr:row>12</xdr:row>
      <xdr:rowOff>38100</xdr:rowOff>
    </xdr:from>
    <xdr:to>
      <xdr:col>24</xdr:col>
      <xdr:colOff>95250</xdr:colOff>
      <xdr:row>15</xdr:row>
      <xdr:rowOff>171450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 txBox="1"/>
      </xdr:nvSpPr>
      <xdr:spPr>
        <a:xfrm>
          <a:off x="10344150" y="2324100"/>
          <a:ext cx="4381500" cy="704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 b="0" i="0">
              <a:solidFill>
                <a:srgbClr val="1E2A26"/>
              </a:solidFill>
              <a:latin typeface="Segoe UI"/>
              <a:cs typeface="Segoe UI"/>
            </a:rPr>
            <a:t>Greater control over brand standards, IP and operating processes</a:t>
          </a:r>
        </a:p>
      </xdr:txBody>
    </xdr:sp>
    <xdr:clientData/>
  </xdr:twoCellAnchor>
  <xdr:twoCellAnchor editAs="absolute">
    <xdr:from>
      <xdr:col>16</xdr:col>
      <xdr:colOff>590550</xdr:colOff>
      <xdr:row>16</xdr:row>
      <xdr:rowOff>19050</xdr:rowOff>
    </xdr:from>
    <xdr:to>
      <xdr:col>24</xdr:col>
      <xdr:colOff>95250</xdr:colOff>
      <xdr:row>17</xdr:row>
      <xdr:rowOff>19050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 txBox="1"/>
      </xdr:nvSpPr>
      <xdr:spPr>
        <a:xfrm>
          <a:off x="10344150" y="3067050"/>
          <a:ext cx="43815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800" b="1" i="0">
              <a:solidFill>
                <a:srgbClr val="6B7A74"/>
              </a:solidFill>
              <a:latin typeface="Segoe UI"/>
              <a:cs typeface="Segoe UI"/>
            </a:rPr>
            <a:t>EVIDENCE</a:t>
          </a:r>
        </a:p>
      </xdr:txBody>
    </xdr:sp>
    <xdr:clientData/>
  </xdr:twoCellAnchor>
  <xdr:twoCellAnchor editAs="absolute">
    <xdr:from>
      <xdr:col>16</xdr:col>
      <xdr:colOff>590550</xdr:colOff>
      <xdr:row>17</xdr:row>
      <xdr:rowOff>19050</xdr:rowOff>
    </xdr:from>
    <xdr:to>
      <xdr:col>24</xdr:col>
      <xdr:colOff>95250</xdr:colOff>
      <xdr:row>19</xdr:row>
      <xdr:rowOff>95250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 txBox="1"/>
      </xdr:nvSpPr>
      <xdr:spPr>
        <a:xfrm>
          <a:off x="10344150" y="3257550"/>
          <a:ext cx="4381500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 b="0" i="0">
              <a:solidFill>
                <a:srgbClr val="1E2A26"/>
              </a:solidFill>
              <a:latin typeface="Segoe UI"/>
              <a:cs typeface="Segoe UI"/>
            </a:rPr>
            <a:t>US$500m invested in partner labour hours; 40% stake in China JV</a:t>
          </a:r>
        </a:p>
      </xdr:txBody>
    </xdr:sp>
    <xdr:clientData/>
  </xdr:twoCellAnchor>
  <xdr:twoCellAnchor editAs="absolute">
    <xdr:from>
      <xdr:col>16</xdr:col>
      <xdr:colOff>590550</xdr:colOff>
      <xdr:row>19</xdr:row>
      <xdr:rowOff>114300</xdr:rowOff>
    </xdr:from>
    <xdr:to>
      <xdr:col>24</xdr:col>
      <xdr:colOff>95250</xdr:colOff>
      <xdr:row>20</xdr:row>
      <xdr:rowOff>114300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 txBox="1"/>
      </xdr:nvSpPr>
      <xdr:spPr>
        <a:xfrm>
          <a:off x="10344150" y="3733800"/>
          <a:ext cx="43815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800" b="0" i="1">
              <a:solidFill>
                <a:srgbClr val="6B7A74"/>
              </a:solidFill>
              <a:latin typeface="Segoe UI"/>
              <a:cs typeface="Segoe UI"/>
            </a:rPr>
            <a:t>Starbucks (2025c; 2026a)</a:t>
          </a:r>
        </a:p>
      </xdr:txBody>
    </xdr:sp>
    <xdr:clientData/>
  </xdr:twoCellAnchor>
  <xdr:twoCellAnchor editAs="absolute">
    <xdr:from>
      <xdr:col>0</xdr:col>
      <xdr:colOff>342900</xdr:colOff>
      <xdr:row>21</xdr:row>
      <xdr:rowOff>114300</xdr:rowOff>
    </xdr:from>
    <xdr:to>
      <xdr:col>16</xdr:col>
      <xdr:colOff>19050</xdr:colOff>
      <xdr:row>40</xdr:row>
      <xdr:rowOff>19050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 txBox="1"/>
      </xdr:nvSpPr>
      <xdr:spPr>
        <a:xfrm>
          <a:off x="342900" y="4114800"/>
          <a:ext cx="9429750" cy="3524250"/>
        </a:xfrm>
        <a:prstGeom prst="rect">
          <a:avLst/>
        </a:prstGeom>
        <a:solidFill>
          <a:srgbClr val="FFFFFF"/>
        </a:solidFill>
        <a:ln w="9525" cmpd="sng">
          <a:solidFill>
            <a:srgbClr val="E3DED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0</xdr:col>
      <xdr:colOff>514350</xdr:colOff>
      <xdr:row>22</xdr:row>
      <xdr:rowOff>38100</xdr:rowOff>
    </xdr:from>
    <xdr:to>
      <xdr:col>15</xdr:col>
      <xdr:colOff>457200</xdr:colOff>
      <xdr:row>23</xdr:row>
      <xdr:rowOff>95250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SpPr txBox="1"/>
      </xdr:nvSpPr>
      <xdr:spPr>
        <a:xfrm>
          <a:off x="514350" y="4229100"/>
          <a:ext cx="90868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 i="0">
              <a:solidFill>
                <a:srgbClr val="1E3932"/>
              </a:solidFill>
              <a:latin typeface="Segoe UI"/>
              <a:cs typeface="Segoe UI"/>
            </a:rPr>
            <a:t>Which Starbucks resources transfer to Nepal? (VRIN)</a:t>
          </a:r>
        </a:p>
      </xdr:txBody>
    </xdr:sp>
    <xdr:clientData/>
  </xdr:twoCellAnchor>
  <xdr:twoCellAnchor editAs="absolute">
    <xdr:from>
      <xdr:col>0</xdr:col>
      <xdr:colOff>514350</xdr:colOff>
      <xdr:row>23</xdr:row>
      <xdr:rowOff>95250</xdr:rowOff>
    </xdr:from>
    <xdr:to>
      <xdr:col>15</xdr:col>
      <xdr:colOff>457200</xdr:colOff>
      <xdr:row>24</xdr:row>
      <xdr:rowOff>95250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 txBox="1"/>
      </xdr:nvSpPr>
      <xdr:spPr>
        <a:xfrm>
          <a:off x="514350" y="4476750"/>
          <a:ext cx="908685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0" i="0">
              <a:solidFill>
                <a:srgbClr val="6B7A74"/>
              </a:solidFill>
              <a:latin typeface="Segoe UI"/>
              <a:cs typeface="Segoe UI"/>
            </a:rPr>
            <a:t>Barney (1991) · author's assessment</a:t>
          </a:r>
        </a:p>
      </xdr:txBody>
    </xdr:sp>
    <xdr:clientData/>
  </xdr:twoCellAnchor>
  <xdr:twoCellAnchor editAs="absolute">
    <xdr:from>
      <xdr:col>0</xdr:col>
      <xdr:colOff>419100</xdr:colOff>
      <xdr:row>24</xdr:row>
      <xdr:rowOff>171450</xdr:rowOff>
    </xdr:from>
    <xdr:to>
      <xdr:col>3</xdr:col>
      <xdr:colOff>371475</xdr:colOff>
      <xdr:row>26</xdr:row>
      <xdr:rowOff>123825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 txBox="1"/>
      </xdr:nvSpPr>
      <xdr:spPr>
        <a:xfrm>
          <a:off x="419100" y="4743450"/>
          <a:ext cx="1781175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1" i="0">
              <a:solidFill>
                <a:srgbClr val="6B7A74"/>
              </a:solidFill>
              <a:latin typeface="Segoe UI"/>
              <a:cs typeface="Segoe UI"/>
            </a:rPr>
            <a:t>Resource</a:t>
          </a:r>
        </a:p>
      </xdr:txBody>
    </xdr:sp>
    <xdr:clientData/>
  </xdr:twoCellAnchor>
  <xdr:twoCellAnchor editAs="absolute">
    <xdr:from>
      <xdr:col>3</xdr:col>
      <xdr:colOff>400050</xdr:colOff>
      <xdr:row>24</xdr:row>
      <xdr:rowOff>171450</xdr:rowOff>
    </xdr:from>
    <xdr:to>
      <xdr:col>4</xdr:col>
      <xdr:colOff>142875</xdr:colOff>
      <xdr:row>26</xdr:row>
      <xdr:rowOff>123825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SpPr txBox="1"/>
      </xdr:nvSpPr>
      <xdr:spPr>
        <a:xfrm>
          <a:off x="2228850" y="4743450"/>
          <a:ext cx="352425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6B7A74"/>
              </a:solidFill>
              <a:latin typeface="Segoe UI"/>
              <a:cs typeface="Segoe UI"/>
            </a:rPr>
            <a:t>V</a:t>
          </a:r>
        </a:p>
      </xdr:txBody>
    </xdr:sp>
    <xdr:clientData/>
  </xdr:twoCellAnchor>
  <xdr:twoCellAnchor editAs="absolute">
    <xdr:from>
      <xdr:col>4</xdr:col>
      <xdr:colOff>171450</xdr:colOff>
      <xdr:row>24</xdr:row>
      <xdr:rowOff>171450</xdr:rowOff>
    </xdr:from>
    <xdr:to>
      <xdr:col>4</xdr:col>
      <xdr:colOff>523875</xdr:colOff>
      <xdr:row>26</xdr:row>
      <xdr:rowOff>123825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SpPr txBox="1"/>
      </xdr:nvSpPr>
      <xdr:spPr>
        <a:xfrm>
          <a:off x="2609850" y="4743450"/>
          <a:ext cx="352425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6B7A74"/>
              </a:solidFill>
              <a:latin typeface="Segoe UI"/>
              <a:cs typeface="Segoe UI"/>
            </a:rPr>
            <a:t>R</a:t>
          </a:r>
        </a:p>
      </xdr:txBody>
    </xdr:sp>
    <xdr:clientData/>
  </xdr:twoCellAnchor>
  <xdr:twoCellAnchor editAs="absolute">
    <xdr:from>
      <xdr:col>4</xdr:col>
      <xdr:colOff>552450</xdr:colOff>
      <xdr:row>24</xdr:row>
      <xdr:rowOff>171450</xdr:rowOff>
    </xdr:from>
    <xdr:to>
      <xdr:col>5</xdr:col>
      <xdr:colOff>295275</xdr:colOff>
      <xdr:row>26</xdr:row>
      <xdr:rowOff>123825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SpPr txBox="1"/>
      </xdr:nvSpPr>
      <xdr:spPr>
        <a:xfrm>
          <a:off x="2990850" y="4743450"/>
          <a:ext cx="352425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6B7A74"/>
              </a:solidFill>
              <a:latin typeface="Segoe UI"/>
              <a:cs typeface="Segoe UI"/>
            </a:rPr>
            <a:t>I</a:t>
          </a:r>
        </a:p>
      </xdr:txBody>
    </xdr:sp>
    <xdr:clientData/>
  </xdr:twoCellAnchor>
  <xdr:twoCellAnchor editAs="absolute">
    <xdr:from>
      <xdr:col>5</xdr:col>
      <xdr:colOff>323850</xdr:colOff>
      <xdr:row>24</xdr:row>
      <xdr:rowOff>171450</xdr:rowOff>
    </xdr:from>
    <xdr:to>
      <xdr:col>6</xdr:col>
      <xdr:colOff>66675</xdr:colOff>
      <xdr:row>26</xdr:row>
      <xdr:rowOff>123825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SpPr txBox="1"/>
      </xdr:nvSpPr>
      <xdr:spPr>
        <a:xfrm>
          <a:off x="3371850" y="4743450"/>
          <a:ext cx="352425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6B7A74"/>
              </a:solidFill>
              <a:latin typeface="Segoe UI"/>
              <a:cs typeface="Segoe UI"/>
            </a:rPr>
            <a:t>N</a:t>
          </a:r>
        </a:p>
      </xdr:txBody>
    </xdr:sp>
    <xdr:clientData/>
  </xdr:twoCellAnchor>
  <xdr:twoCellAnchor editAs="absolute">
    <xdr:from>
      <xdr:col>6</xdr:col>
      <xdr:colOff>95250</xdr:colOff>
      <xdr:row>24</xdr:row>
      <xdr:rowOff>171450</xdr:rowOff>
    </xdr:from>
    <xdr:to>
      <xdr:col>7</xdr:col>
      <xdr:colOff>276225</xdr:colOff>
      <xdr:row>26</xdr:row>
      <xdr:rowOff>123825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SpPr txBox="1"/>
      </xdr:nvSpPr>
      <xdr:spPr>
        <a:xfrm>
          <a:off x="3752850" y="4743450"/>
          <a:ext cx="790575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6B7A74"/>
              </a:solidFill>
              <a:latin typeface="Segoe UI"/>
              <a:cs typeface="Segoe UI"/>
            </a:rPr>
            <a:t>Transfers?</a:t>
          </a:r>
        </a:p>
      </xdr:txBody>
    </xdr:sp>
    <xdr:clientData/>
  </xdr:twoCellAnchor>
  <xdr:twoCellAnchor editAs="absolute">
    <xdr:from>
      <xdr:col>7</xdr:col>
      <xdr:colOff>304800</xdr:colOff>
      <xdr:row>24</xdr:row>
      <xdr:rowOff>171450</xdr:rowOff>
    </xdr:from>
    <xdr:to>
      <xdr:col>15</xdr:col>
      <xdr:colOff>542925</xdr:colOff>
      <xdr:row>26</xdr:row>
      <xdr:rowOff>123825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SpPr txBox="1"/>
      </xdr:nvSpPr>
      <xdr:spPr>
        <a:xfrm>
          <a:off x="4572000" y="4743450"/>
          <a:ext cx="5114925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1" i="0">
              <a:solidFill>
                <a:srgbClr val="6B7A74"/>
              </a:solidFill>
              <a:latin typeface="Segoe UI"/>
              <a:cs typeface="Segoe UI"/>
            </a:rPr>
            <a:t>Rationale</a:t>
          </a:r>
        </a:p>
      </xdr:txBody>
    </xdr:sp>
    <xdr:clientData/>
  </xdr:twoCellAnchor>
  <xdr:twoCellAnchor editAs="absolute">
    <xdr:from>
      <xdr:col>0</xdr:col>
      <xdr:colOff>419100</xdr:colOff>
      <xdr:row>26</xdr:row>
      <xdr:rowOff>152400</xdr:rowOff>
    </xdr:from>
    <xdr:to>
      <xdr:col>3</xdr:col>
      <xdr:colOff>371475</xdr:colOff>
      <xdr:row>28</xdr:row>
      <xdr:rowOff>104775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SpPr txBox="1"/>
      </xdr:nvSpPr>
      <xdr:spPr>
        <a:xfrm>
          <a:off x="419100" y="5105400"/>
          <a:ext cx="1781175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1" i="0">
              <a:solidFill>
                <a:srgbClr val="1E2A26"/>
              </a:solidFill>
              <a:latin typeface="Segoe UI"/>
              <a:cs typeface="Segoe UI"/>
            </a:rPr>
            <a:t>Brand and 'third place'</a:t>
          </a:r>
        </a:p>
      </xdr:txBody>
    </xdr:sp>
    <xdr:clientData/>
  </xdr:twoCellAnchor>
  <xdr:twoCellAnchor editAs="absolute">
    <xdr:from>
      <xdr:col>3</xdr:col>
      <xdr:colOff>400050</xdr:colOff>
      <xdr:row>26</xdr:row>
      <xdr:rowOff>152400</xdr:rowOff>
    </xdr:from>
    <xdr:to>
      <xdr:col>4</xdr:col>
      <xdr:colOff>142875</xdr:colOff>
      <xdr:row>28</xdr:row>
      <xdr:rowOff>104775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SpPr txBox="1"/>
      </xdr:nvSpPr>
      <xdr:spPr>
        <a:xfrm>
          <a:off x="2228850" y="5105400"/>
          <a:ext cx="352425" cy="33337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0B5A3C"/>
              </a:solidFill>
              <a:latin typeface="Segoe UI"/>
              <a:cs typeface="Segoe UI"/>
            </a:rPr>
            <a:t>✓</a:t>
          </a:r>
        </a:p>
      </xdr:txBody>
    </xdr:sp>
    <xdr:clientData/>
  </xdr:twoCellAnchor>
  <xdr:twoCellAnchor editAs="absolute">
    <xdr:from>
      <xdr:col>4</xdr:col>
      <xdr:colOff>171450</xdr:colOff>
      <xdr:row>26</xdr:row>
      <xdr:rowOff>152400</xdr:rowOff>
    </xdr:from>
    <xdr:to>
      <xdr:col>4</xdr:col>
      <xdr:colOff>523875</xdr:colOff>
      <xdr:row>28</xdr:row>
      <xdr:rowOff>104775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SpPr txBox="1"/>
      </xdr:nvSpPr>
      <xdr:spPr>
        <a:xfrm>
          <a:off x="2609850" y="5105400"/>
          <a:ext cx="352425" cy="33337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0B5A3C"/>
              </a:solidFill>
              <a:latin typeface="Segoe UI"/>
              <a:cs typeface="Segoe UI"/>
            </a:rPr>
            <a:t>✓</a:t>
          </a:r>
        </a:p>
      </xdr:txBody>
    </xdr:sp>
    <xdr:clientData/>
  </xdr:twoCellAnchor>
  <xdr:twoCellAnchor editAs="absolute">
    <xdr:from>
      <xdr:col>4</xdr:col>
      <xdr:colOff>552450</xdr:colOff>
      <xdr:row>26</xdr:row>
      <xdr:rowOff>152400</xdr:rowOff>
    </xdr:from>
    <xdr:to>
      <xdr:col>5</xdr:col>
      <xdr:colOff>295275</xdr:colOff>
      <xdr:row>28</xdr:row>
      <xdr:rowOff>104775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SpPr txBox="1"/>
      </xdr:nvSpPr>
      <xdr:spPr>
        <a:xfrm>
          <a:off x="2990850" y="5105400"/>
          <a:ext cx="352425" cy="33337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0B5A3C"/>
              </a:solidFill>
              <a:latin typeface="Segoe UI"/>
              <a:cs typeface="Segoe UI"/>
            </a:rPr>
            <a:t>✓</a:t>
          </a:r>
        </a:p>
      </xdr:txBody>
    </xdr:sp>
    <xdr:clientData/>
  </xdr:twoCellAnchor>
  <xdr:twoCellAnchor editAs="absolute">
    <xdr:from>
      <xdr:col>5</xdr:col>
      <xdr:colOff>323850</xdr:colOff>
      <xdr:row>26</xdr:row>
      <xdr:rowOff>152400</xdr:rowOff>
    </xdr:from>
    <xdr:to>
      <xdr:col>6</xdr:col>
      <xdr:colOff>66675</xdr:colOff>
      <xdr:row>28</xdr:row>
      <xdr:rowOff>104775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SpPr txBox="1"/>
      </xdr:nvSpPr>
      <xdr:spPr>
        <a:xfrm>
          <a:off x="3371850" y="5105400"/>
          <a:ext cx="352425" cy="33337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0B5A3C"/>
              </a:solidFill>
              <a:latin typeface="Segoe UI"/>
              <a:cs typeface="Segoe UI"/>
            </a:rPr>
            <a:t>✓</a:t>
          </a:r>
        </a:p>
      </xdr:txBody>
    </xdr:sp>
    <xdr:clientData/>
  </xdr:twoCellAnchor>
  <xdr:twoCellAnchor editAs="absolute">
    <xdr:from>
      <xdr:col>6</xdr:col>
      <xdr:colOff>95250</xdr:colOff>
      <xdr:row>26</xdr:row>
      <xdr:rowOff>152400</xdr:rowOff>
    </xdr:from>
    <xdr:to>
      <xdr:col>7</xdr:col>
      <xdr:colOff>276225</xdr:colOff>
      <xdr:row>28</xdr:row>
      <xdr:rowOff>104775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SpPr txBox="1"/>
      </xdr:nvSpPr>
      <xdr:spPr>
        <a:xfrm>
          <a:off x="3752850" y="5105400"/>
          <a:ext cx="790575" cy="33337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0B5A3C"/>
              </a:solidFill>
              <a:latin typeface="Segoe UI"/>
              <a:cs typeface="Segoe UI"/>
            </a:rPr>
            <a:t>YES</a:t>
          </a:r>
        </a:p>
      </xdr:txBody>
    </xdr:sp>
    <xdr:clientData/>
  </xdr:twoCellAnchor>
  <xdr:twoCellAnchor editAs="absolute">
    <xdr:from>
      <xdr:col>7</xdr:col>
      <xdr:colOff>304800</xdr:colOff>
      <xdr:row>26</xdr:row>
      <xdr:rowOff>152400</xdr:rowOff>
    </xdr:from>
    <xdr:to>
      <xdr:col>15</xdr:col>
      <xdr:colOff>542925</xdr:colOff>
      <xdr:row>28</xdr:row>
      <xdr:rowOff>104775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SpPr txBox="1"/>
      </xdr:nvSpPr>
      <xdr:spPr>
        <a:xfrm>
          <a:off x="4572000" y="5105400"/>
          <a:ext cx="5114925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0" i="0">
              <a:solidFill>
                <a:srgbClr val="1E2A26"/>
              </a:solidFill>
              <a:latin typeface="Segoe UI"/>
              <a:cs typeface="Segoe UI"/>
            </a:rPr>
            <a:t>Socially complex, causally ambiguous; no premium incumbent</a:t>
          </a:r>
        </a:p>
      </xdr:txBody>
    </xdr:sp>
    <xdr:clientData/>
  </xdr:twoCellAnchor>
  <xdr:twoCellAnchor editAs="absolute">
    <xdr:from>
      <xdr:col>0</xdr:col>
      <xdr:colOff>419100</xdr:colOff>
      <xdr:row>28</xdr:row>
      <xdr:rowOff>133350</xdr:rowOff>
    </xdr:from>
    <xdr:to>
      <xdr:col>3</xdr:col>
      <xdr:colOff>371475</xdr:colOff>
      <xdr:row>30</xdr:row>
      <xdr:rowOff>85725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SpPr txBox="1"/>
      </xdr:nvSpPr>
      <xdr:spPr>
        <a:xfrm>
          <a:off x="419100" y="5467350"/>
          <a:ext cx="1781175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1" i="0">
              <a:solidFill>
                <a:srgbClr val="1E2A26"/>
              </a:solidFill>
              <a:latin typeface="Segoe UI"/>
              <a:cs typeface="Segoe UI"/>
            </a:rPr>
            <a:t>Partner capability</a:t>
          </a:r>
        </a:p>
      </xdr:txBody>
    </xdr:sp>
    <xdr:clientData/>
  </xdr:twoCellAnchor>
  <xdr:twoCellAnchor editAs="absolute">
    <xdr:from>
      <xdr:col>3</xdr:col>
      <xdr:colOff>400050</xdr:colOff>
      <xdr:row>28</xdr:row>
      <xdr:rowOff>133350</xdr:rowOff>
    </xdr:from>
    <xdr:to>
      <xdr:col>4</xdr:col>
      <xdr:colOff>142875</xdr:colOff>
      <xdr:row>30</xdr:row>
      <xdr:rowOff>85725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SpPr txBox="1"/>
      </xdr:nvSpPr>
      <xdr:spPr>
        <a:xfrm>
          <a:off x="2228850" y="5467350"/>
          <a:ext cx="352425" cy="33337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0B5A3C"/>
              </a:solidFill>
              <a:latin typeface="Segoe UI"/>
              <a:cs typeface="Segoe UI"/>
            </a:rPr>
            <a:t>✓</a:t>
          </a:r>
        </a:p>
      </xdr:txBody>
    </xdr:sp>
    <xdr:clientData/>
  </xdr:twoCellAnchor>
  <xdr:twoCellAnchor editAs="absolute">
    <xdr:from>
      <xdr:col>4</xdr:col>
      <xdr:colOff>171450</xdr:colOff>
      <xdr:row>28</xdr:row>
      <xdr:rowOff>133350</xdr:rowOff>
    </xdr:from>
    <xdr:to>
      <xdr:col>4</xdr:col>
      <xdr:colOff>523875</xdr:colOff>
      <xdr:row>30</xdr:row>
      <xdr:rowOff>85725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SpPr txBox="1"/>
      </xdr:nvSpPr>
      <xdr:spPr>
        <a:xfrm>
          <a:off x="2609850" y="5467350"/>
          <a:ext cx="352425" cy="33337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0B5A3C"/>
              </a:solidFill>
              <a:latin typeface="Segoe UI"/>
              <a:cs typeface="Segoe UI"/>
            </a:rPr>
            <a:t>✓</a:t>
          </a:r>
        </a:p>
      </xdr:txBody>
    </xdr:sp>
    <xdr:clientData/>
  </xdr:twoCellAnchor>
  <xdr:twoCellAnchor editAs="absolute">
    <xdr:from>
      <xdr:col>4</xdr:col>
      <xdr:colOff>552450</xdr:colOff>
      <xdr:row>28</xdr:row>
      <xdr:rowOff>133350</xdr:rowOff>
    </xdr:from>
    <xdr:to>
      <xdr:col>5</xdr:col>
      <xdr:colOff>295275</xdr:colOff>
      <xdr:row>30</xdr:row>
      <xdr:rowOff>85725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SpPr txBox="1"/>
      </xdr:nvSpPr>
      <xdr:spPr>
        <a:xfrm>
          <a:off x="2990850" y="5467350"/>
          <a:ext cx="352425" cy="33337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0B5A3C"/>
              </a:solidFill>
              <a:latin typeface="Segoe UI"/>
              <a:cs typeface="Segoe UI"/>
            </a:rPr>
            <a:t>✓</a:t>
          </a:r>
        </a:p>
      </xdr:txBody>
    </xdr:sp>
    <xdr:clientData/>
  </xdr:twoCellAnchor>
  <xdr:twoCellAnchor editAs="absolute">
    <xdr:from>
      <xdr:col>5</xdr:col>
      <xdr:colOff>323850</xdr:colOff>
      <xdr:row>28</xdr:row>
      <xdr:rowOff>133350</xdr:rowOff>
    </xdr:from>
    <xdr:to>
      <xdr:col>6</xdr:col>
      <xdr:colOff>66675</xdr:colOff>
      <xdr:row>30</xdr:row>
      <xdr:rowOff>85725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SpPr txBox="1"/>
      </xdr:nvSpPr>
      <xdr:spPr>
        <a:xfrm>
          <a:off x="3371850" y="5467350"/>
          <a:ext cx="352425" cy="33337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0B5A3C"/>
              </a:solidFill>
              <a:latin typeface="Segoe UI"/>
              <a:cs typeface="Segoe UI"/>
            </a:rPr>
            <a:t>✓</a:t>
          </a:r>
        </a:p>
      </xdr:txBody>
    </xdr:sp>
    <xdr:clientData/>
  </xdr:twoCellAnchor>
  <xdr:twoCellAnchor editAs="absolute">
    <xdr:from>
      <xdr:col>6</xdr:col>
      <xdr:colOff>95250</xdr:colOff>
      <xdr:row>28</xdr:row>
      <xdr:rowOff>133350</xdr:rowOff>
    </xdr:from>
    <xdr:to>
      <xdr:col>7</xdr:col>
      <xdr:colOff>276225</xdr:colOff>
      <xdr:row>30</xdr:row>
      <xdr:rowOff>85725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SpPr txBox="1"/>
      </xdr:nvSpPr>
      <xdr:spPr>
        <a:xfrm>
          <a:off x="3752850" y="5467350"/>
          <a:ext cx="790575" cy="33337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0B5A3C"/>
              </a:solidFill>
              <a:latin typeface="Segoe UI"/>
              <a:cs typeface="Segoe UI"/>
            </a:rPr>
            <a:t>YES</a:t>
          </a:r>
        </a:p>
      </xdr:txBody>
    </xdr:sp>
    <xdr:clientData/>
  </xdr:twoCellAnchor>
  <xdr:twoCellAnchor editAs="absolute">
    <xdr:from>
      <xdr:col>7</xdr:col>
      <xdr:colOff>304800</xdr:colOff>
      <xdr:row>28</xdr:row>
      <xdr:rowOff>133350</xdr:rowOff>
    </xdr:from>
    <xdr:to>
      <xdr:col>15</xdr:col>
      <xdr:colOff>542925</xdr:colOff>
      <xdr:row>30</xdr:row>
      <xdr:rowOff>85725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SpPr txBox="1"/>
      </xdr:nvSpPr>
      <xdr:spPr>
        <a:xfrm>
          <a:off x="4572000" y="5467350"/>
          <a:ext cx="5114925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0" i="0">
              <a:solidFill>
                <a:srgbClr val="1E2A26"/>
              </a:solidFill>
              <a:latin typeface="Segoe UI"/>
              <a:cs typeface="Segoe UI"/>
            </a:rPr>
            <a:t>Training and culture are non-purchasable</a:t>
          </a:r>
        </a:p>
      </xdr:txBody>
    </xdr:sp>
    <xdr:clientData/>
  </xdr:twoCellAnchor>
  <xdr:twoCellAnchor editAs="absolute">
    <xdr:from>
      <xdr:col>0</xdr:col>
      <xdr:colOff>419100</xdr:colOff>
      <xdr:row>30</xdr:row>
      <xdr:rowOff>114300</xdr:rowOff>
    </xdr:from>
    <xdr:to>
      <xdr:col>3</xdr:col>
      <xdr:colOff>371475</xdr:colOff>
      <xdr:row>32</xdr:row>
      <xdr:rowOff>66675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SpPr txBox="1"/>
      </xdr:nvSpPr>
      <xdr:spPr>
        <a:xfrm>
          <a:off x="419100" y="5829300"/>
          <a:ext cx="1781175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1" i="0">
              <a:solidFill>
                <a:srgbClr val="1E2A26"/>
              </a:solidFill>
              <a:latin typeface="Segoe UI"/>
              <a:cs typeface="Segoe UI"/>
            </a:rPr>
            <a:t>Roasting craft</a:t>
          </a:r>
        </a:p>
      </xdr:txBody>
    </xdr:sp>
    <xdr:clientData/>
  </xdr:twoCellAnchor>
  <xdr:twoCellAnchor editAs="absolute">
    <xdr:from>
      <xdr:col>3</xdr:col>
      <xdr:colOff>400050</xdr:colOff>
      <xdr:row>30</xdr:row>
      <xdr:rowOff>114300</xdr:rowOff>
    </xdr:from>
    <xdr:to>
      <xdr:col>4</xdr:col>
      <xdr:colOff>142875</xdr:colOff>
      <xdr:row>32</xdr:row>
      <xdr:rowOff>66675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SpPr txBox="1"/>
      </xdr:nvSpPr>
      <xdr:spPr>
        <a:xfrm>
          <a:off x="2228850" y="5829300"/>
          <a:ext cx="352425" cy="33337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0B5A3C"/>
              </a:solidFill>
              <a:latin typeface="Segoe UI"/>
              <a:cs typeface="Segoe UI"/>
            </a:rPr>
            <a:t>✓</a:t>
          </a:r>
        </a:p>
      </xdr:txBody>
    </xdr:sp>
    <xdr:clientData/>
  </xdr:twoCellAnchor>
  <xdr:twoCellAnchor editAs="absolute">
    <xdr:from>
      <xdr:col>4</xdr:col>
      <xdr:colOff>171450</xdr:colOff>
      <xdr:row>30</xdr:row>
      <xdr:rowOff>114300</xdr:rowOff>
    </xdr:from>
    <xdr:to>
      <xdr:col>4</xdr:col>
      <xdr:colOff>523875</xdr:colOff>
      <xdr:row>32</xdr:row>
      <xdr:rowOff>66675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SpPr txBox="1"/>
      </xdr:nvSpPr>
      <xdr:spPr>
        <a:xfrm>
          <a:off x="2609850" y="5829300"/>
          <a:ext cx="352425" cy="33337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0B5A3C"/>
              </a:solidFill>
              <a:latin typeface="Segoe UI"/>
              <a:cs typeface="Segoe UI"/>
            </a:rPr>
            <a:t>✓</a:t>
          </a:r>
        </a:p>
      </xdr:txBody>
    </xdr:sp>
    <xdr:clientData/>
  </xdr:twoCellAnchor>
  <xdr:twoCellAnchor editAs="absolute">
    <xdr:from>
      <xdr:col>4</xdr:col>
      <xdr:colOff>552450</xdr:colOff>
      <xdr:row>30</xdr:row>
      <xdr:rowOff>114300</xdr:rowOff>
    </xdr:from>
    <xdr:to>
      <xdr:col>5</xdr:col>
      <xdr:colOff>295275</xdr:colOff>
      <xdr:row>32</xdr:row>
      <xdr:rowOff>66675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SpPr txBox="1"/>
      </xdr:nvSpPr>
      <xdr:spPr>
        <a:xfrm>
          <a:off x="2990850" y="5829300"/>
          <a:ext cx="352425" cy="33337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0B5A3C"/>
              </a:solidFill>
              <a:latin typeface="Segoe UI"/>
              <a:cs typeface="Segoe UI"/>
            </a:rPr>
            <a:t>✓</a:t>
          </a:r>
        </a:p>
      </xdr:txBody>
    </xdr:sp>
    <xdr:clientData/>
  </xdr:twoCellAnchor>
  <xdr:twoCellAnchor editAs="absolute">
    <xdr:from>
      <xdr:col>5</xdr:col>
      <xdr:colOff>323850</xdr:colOff>
      <xdr:row>30</xdr:row>
      <xdr:rowOff>114300</xdr:rowOff>
    </xdr:from>
    <xdr:to>
      <xdr:col>6</xdr:col>
      <xdr:colOff>66675</xdr:colOff>
      <xdr:row>32</xdr:row>
      <xdr:rowOff>66675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SpPr txBox="1"/>
      </xdr:nvSpPr>
      <xdr:spPr>
        <a:xfrm>
          <a:off x="3371850" y="5829300"/>
          <a:ext cx="352425" cy="33337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0B5A3C"/>
              </a:solidFill>
              <a:latin typeface="Segoe UI"/>
              <a:cs typeface="Segoe UI"/>
            </a:rPr>
            <a:t>✓</a:t>
          </a:r>
        </a:p>
      </xdr:txBody>
    </xdr:sp>
    <xdr:clientData/>
  </xdr:twoCellAnchor>
  <xdr:twoCellAnchor editAs="absolute">
    <xdr:from>
      <xdr:col>6</xdr:col>
      <xdr:colOff>95250</xdr:colOff>
      <xdr:row>30</xdr:row>
      <xdr:rowOff>114300</xdr:rowOff>
    </xdr:from>
    <xdr:to>
      <xdr:col>7</xdr:col>
      <xdr:colOff>276225</xdr:colOff>
      <xdr:row>32</xdr:row>
      <xdr:rowOff>66675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SpPr txBox="1"/>
      </xdr:nvSpPr>
      <xdr:spPr>
        <a:xfrm>
          <a:off x="3752850" y="5829300"/>
          <a:ext cx="790575" cy="33337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0B5A3C"/>
              </a:solidFill>
              <a:latin typeface="Segoe UI"/>
              <a:cs typeface="Segoe UI"/>
            </a:rPr>
            <a:t>YES</a:t>
          </a:r>
        </a:p>
      </xdr:txBody>
    </xdr:sp>
    <xdr:clientData/>
  </xdr:twoCellAnchor>
  <xdr:twoCellAnchor editAs="absolute">
    <xdr:from>
      <xdr:col>7</xdr:col>
      <xdr:colOff>304800</xdr:colOff>
      <xdr:row>30</xdr:row>
      <xdr:rowOff>114300</xdr:rowOff>
    </xdr:from>
    <xdr:to>
      <xdr:col>15</xdr:col>
      <xdr:colOff>542925</xdr:colOff>
      <xdr:row>32</xdr:row>
      <xdr:rowOff>66675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SpPr txBox="1"/>
      </xdr:nvSpPr>
      <xdr:spPr>
        <a:xfrm>
          <a:off x="4572000" y="5829300"/>
          <a:ext cx="5114925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0" i="0">
              <a:solidFill>
                <a:srgbClr val="1E2A26"/>
              </a:solidFill>
              <a:latin typeface="Segoe UI"/>
              <a:cs typeface="Segoe UI"/>
            </a:rPr>
            <a:t>Codified knowledge; travels with the firm</a:t>
          </a:r>
        </a:p>
      </xdr:txBody>
    </xdr:sp>
    <xdr:clientData/>
  </xdr:twoCellAnchor>
  <xdr:twoCellAnchor editAs="absolute">
    <xdr:from>
      <xdr:col>0</xdr:col>
      <xdr:colOff>419100</xdr:colOff>
      <xdr:row>32</xdr:row>
      <xdr:rowOff>95250</xdr:rowOff>
    </xdr:from>
    <xdr:to>
      <xdr:col>3</xdr:col>
      <xdr:colOff>371475</xdr:colOff>
      <xdr:row>34</xdr:row>
      <xdr:rowOff>47625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SpPr txBox="1"/>
      </xdr:nvSpPr>
      <xdr:spPr>
        <a:xfrm>
          <a:off x="419100" y="6191250"/>
          <a:ext cx="1781175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1" i="0">
              <a:solidFill>
                <a:srgbClr val="1E2A26"/>
              </a:solidFill>
              <a:latin typeface="Segoe UI"/>
              <a:cs typeface="Segoe UI"/>
            </a:rPr>
            <a:t>Digital ecosystem</a:t>
          </a:r>
        </a:p>
      </xdr:txBody>
    </xdr:sp>
    <xdr:clientData/>
  </xdr:twoCellAnchor>
  <xdr:twoCellAnchor editAs="absolute">
    <xdr:from>
      <xdr:col>3</xdr:col>
      <xdr:colOff>400050</xdr:colOff>
      <xdr:row>32</xdr:row>
      <xdr:rowOff>95250</xdr:rowOff>
    </xdr:from>
    <xdr:to>
      <xdr:col>4</xdr:col>
      <xdr:colOff>142875</xdr:colOff>
      <xdr:row>34</xdr:row>
      <xdr:rowOff>47625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SpPr txBox="1"/>
      </xdr:nvSpPr>
      <xdr:spPr>
        <a:xfrm>
          <a:off x="2228850" y="6191250"/>
          <a:ext cx="352425" cy="33337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0B5A3C"/>
              </a:solidFill>
              <a:latin typeface="Segoe UI"/>
              <a:cs typeface="Segoe UI"/>
            </a:rPr>
            <a:t>✓</a:t>
          </a:r>
        </a:p>
      </xdr:txBody>
    </xdr:sp>
    <xdr:clientData/>
  </xdr:twoCellAnchor>
  <xdr:twoCellAnchor editAs="absolute">
    <xdr:from>
      <xdr:col>4</xdr:col>
      <xdr:colOff>171450</xdr:colOff>
      <xdr:row>32</xdr:row>
      <xdr:rowOff>95250</xdr:rowOff>
    </xdr:from>
    <xdr:to>
      <xdr:col>4</xdr:col>
      <xdr:colOff>523875</xdr:colOff>
      <xdr:row>34</xdr:row>
      <xdr:rowOff>47625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SpPr txBox="1"/>
      </xdr:nvSpPr>
      <xdr:spPr>
        <a:xfrm>
          <a:off x="2609850" y="6191250"/>
          <a:ext cx="352425" cy="33337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0B5A3C"/>
              </a:solidFill>
              <a:latin typeface="Segoe UI"/>
              <a:cs typeface="Segoe UI"/>
            </a:rPr>
            <a:t>✓</a:t>
          </a:r>
        </a:p>
      </xdr:txBody>
    </xdr:sp>
    <xdr:clientData/>
  </xdr:twoCellAnchor>
  <xdr:twoCellAnchor editAs="absolute">
    <xdr:from>
      <xdr:col>4</xdr:col>
      <xdr:colOff>552450</xdr:colOff>
      <xdr:row>32</xdr:row>
      <xdr:rowOff>95250</xdr:rowOff>
    </xdr:from>
    <xdr:to>
      <xdr:col>5</xdr:col>
      <xdr:colOff>295275</xdr:colOff>
      <xdr:row>34</xdr:row>
      <xdr:rowOff>47625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SpPr txBox="1"/>
      </xdr:nvSpPr>
      <xdr:spPr>
        <a:xfrm>
          <a:off x="2990850" y="6191250"/>
          <a:ext cx="352425" cy="33337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0B5A3C"/>
              </a:solidFill>
              <a:latin typeface="Segoe UI"/>
              <a:cs typeface="Segoe UI"/>
            </a:rPr>
            <a:t>✓</a:t>
          </a:r>
        </a:p>
      </xdr:txBody>
    </xdr:sp>
    <xdr:clientData/>
  </xdr:twoCellAnchor>
  <xdr:twoCellAnchor editAs="absolute">
    <xdr:from>
      <xdr:col>5</xdr:col>
      <xdr:colOff>323850</xdr:colOff>
      <xdr:row>32</xdr:row>
      <xdr:rowOff>95250</xdr:rowOff>
    </xdr:from>
    <xdr:to>
      <xdr:col>6</xdr:col>
      <xdr:colOff>66675</xdr:colOff>
      <xdr:row>34</xdr:row>
      <xdr:rowOff>47625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SpPr txBox="1"/>
      </xdr:nvSpPr>
      <xdr:spPr>
        <a:xfrm>
          <a:off x="3371850" y="6191250"/>
          <a:ext cx="352425" cy="33337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0B5A3C"/>
              </a:solidFill>
              <a:latin typeface="Segoe UI"/>
              <a:cs typeface="Segoe UI"/>
            </a:rPr>
            <a:t>✓</a:t>
          </a:r>
        </a:p>
      </xdr:txBody>
    </xdr:sp>
    <xdr:clientData/>
  </xdr:twoCellAnchor>
  <xdr:twoCellAnchor editAs="absolute">
    <xdr:from>
      <xdr:col>6</xdr:col>
      <xdr:colOff>95250</xdr:colOff>
      <xdr:row>32</xdr:row>
      <xdr:rowOff>95250</xdr:rowOff>
    </xdr:from>
    <xdr:to>
      <xdr:col>7</xdr:col>
      <xdr:colOff>276225</xdr:colOff>
      <xdr:row>34</xdr:row>
      <xdr:rowOff>47625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SpPr txBox="1"/>
      </xdr:nvSpPr>
      <xdr:spPr>
        <a:xfrm>
          <a:off x="3752850" y="6191250"/>
          <a:ext cx="790575" cy="333375"/>
        </a:xfrm>
        <a:prstGeom prst="rect">
          <a:avLst/>
        </a:prstGeom>
        <a:solidFill>
          <a:srgbClr val="F3E2B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7A5A12"/>
              </a:solidFill>
              <a:latin typeface="Segoe UI"/>
              <a:cs typeface="Segoe UI"/>
            </a:rPr>
            <a:t>PARTIAL</a:t>
          </a:r>
        </a:p>
      </xdr:txBody>
    </xdr:sp>
    <xdr:clientData/>
  </xdr:twoCellAnchor>
  <xdr:twoCellAnchor editAs="absolute">
    <xdr:from>
      <xdr:col>7</xdr:col>
      <xdr:colOff>304800</xdr:colOff>
      <xdr:row>32</xdr:row>
      <xdr:rowOff>95250</xdr:rowOff>
    </xdr:from>
    <xdr:to>
      <xdr:col>15</xdr:col>
      <xdr:colOff>542925</xdr:colOff>
      <xdr:row>34</xdr:row>
      <xdr:rowOff>47625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SpPr txBox="1"/>
      </xdr:nvSpPr>
      <xdr:spPr>
        <a:xfrm>
          <a:off x="4572000" y="6191250"/>
          <a:ext cx="5114925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0" i="0">
              <a:solidFill>
                <a:srgbClr val="1E2A26"/>
              </a:solidFill>
              <a:latin typeface="Segoe UI"/>
              <a:cs typeface="Segoe UI"/>
            </a:rPr>
            <a:t>Depends on smartphone and card penetration</a:t>
          </a:r>
        </a:p>
      </xdr:txBody>
    </xdr:sp>
    <xdr:clientData/>
  </xdr:twoCellAnchor>
  <xdr:twoCellAnchor editAs="absolute">
    <xdr:from>
      <xdr:col>0</xdr:col>
      <xdr:colOff>419100</xdr:colOff>
      <xdr:row>34</xdr:row>
      <xdr:rowOff>76200</xdr:rowOff>
    </xdr:from>
    <xdr:to>
      <xdr:col>3</xdr:col>
      <xdr:colOff>371475</xdr:colOff>
      <xdr:row>36</xdr:row>
      <xdr:rowOff>28575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SpPr txBox="1"/>
      </xdr:nvSpPr>
      <xdr:spPr>
        <a:xfrm>
          <a:off x="419100" y="6553200"/>
          <a:ext cx="1781175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1" i="0">
              <a:solidFill>
                <a:srgbClr val="1E2A26"/>
              </a:solidFill>
              <a:latin typeface="Segoe UI"/>
              <a:cs typeface="Segoe UI"/>
            </a:rPr>
            <a:t>Scale supply chain</a:t>
          </a:r>
        </a:p>
      </xdr:txBody>
    </xdr:sp>
    <xdr:clientData/>
  </xdr:twoCellAnchor>
  <xdr:twoCellAnchor editAs="absolute">
    <xdr:from>
      <xdr:col>3</xdr:col>
      <xdr:colOff>400050</xdr:colOff>
      <xdr:row>34</xdr:row>
      <xdr:rowOff>76200</xdr:rowOff>
    </xdr:from>
    <xdr:to>
      <xdr:col>4</xdr:col>
      <xdr:colOff>142875</xdr:colOff>
      <xdr:row>36</xdr:row>
      <xdr:rowOff>28575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SpPr txBox="1"/>
      </xdr:nvSpPr>
      <xdr:spPr>
        <a:xfrm>
          <a:off x="2228850" y="6553200"/>
          <a:ext cx="352425" cy="33337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0B5A3C"/>
              </a:solidFill>
              <a:latin typeface="Segoe UI"/>
              <a:cs typeface="Segoe UI"/>
            </a:rPr>
            <a:t>✓</a:t>
          </a:r>
        </a:p>
      </xdr:txBody>
    </xdr:sp>
    <xdr:clientData/>
  </xdr:twoCellAnchor>
  <xdr:twoCellAnchor editAs="absolute">
    <xdr:from>
      <xdr:col>4</xdr:col>
      <xdr:colOff>171450</xdr:colOff>
      <xdr:row>34</xdr:row>
      <xdr:rowOff>76200</xdr:rowOff>
    </xdr:from>
    <xdr:to>
      <xdr:col>4</xdr:col>
      <xdr:colOff>523875</xdr:colOff>
      <xdr:row>36</xdr:row>
      <xdr:rowOff>28575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SpPr txBox="1"/>
      </xdr:nvSpPr>
      <xdr:spPr>
        <a:xfrm>
          <a:off x="2609850" y="6553200"/>
          <a:ext cx="352425" cy="333375"/>
        </a:xfrm>
        <a:prstGeom prst="rect">
          <a:avLst/>
        </a:prstGeom>
        <a:solidFill>
          <a:srgbClr val="F0D0C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8A3524"/>
              </a:solidFill>
              <a:latin typeface="Segoe UI"/>
              <a:cs typeface="Segoe UI"/>
            </a:rPr>
            <a:t>✗</a:t>
          </a:r>
        </a:p>
      </xdr:txBody>
    </xdr:sp>
    <xdr:clientData/>
  </xdr:twoCellAnchor>
  <xdr:twoCellAnchor editAs="absolute">
    <xdr:from>
      <xdr:col>4</xdr:col>
      <xdr:colOff>552450</xdr:colOff>
      <xdr:row>34</xdr:row>
      <xdr:rowOff>76200</xdr:rowOff>
    </xdr:from>
    <xdr:to>
      <xdr:col>5</xdr:col>
      <xdr:colOff>295275</xdr:colOff>
      <xdr:row>36</xdr:row>
      <xdr:rowOff>28575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SpPr txBox="1"/>
      </xdr:nvSpPr>
      <xdr:spPr>
        <a:xfrm>
          <a:off x="2990850" y="6553200"/>
          <a:ext cx="352425" cy="333375"/>
        </a:xfrm>
        <a:prstGeom prst="rect">
          <a:avLst/>
        </a:prstGeom>
        <a:solidFill>
          <a:srgbClr val="F0D0C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8A3524"/>
              </a:solidFill>
              <a:latin typeface="Segoe UI"/>
              <a:cs typeface="Segoe UI"/>
            </a:rPr>
            <a:t>✗</a:t>
          </a:r>
        </a:p>
      </xdr:txBody>
    </xdr:sp>
    <xdr:clientData/>
  </xdr:twoCellAnchor>
  <xdr:twoCellAnchor editAs="absolute">
    <xdr:from>
      <xdr:col>5</xdr:col>
      <xdr:colOff>323850</xdr:colOff>
      <xdr:row>34</xdr:row>
      <xdr:rowOff>76200</xdr:rowOff>
    </xdr:from>
    <xdr:to>
      <xdr:col>6</xdr:col>
      <xdr:colOff>66675</xdr:colOff>
      <xdr:row>36</xdr:row>
      <xdr:rowOff>28575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 txBox="1"/>
      </xdr:nvSpPr>
      <xdr:spPr>
        <a:xfrm>
          <a:off x="3371850" y="6553200"/>
          <a:ext cx="352425" cy="33337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0B5A3C"/>
              </a:solidFill>
              <a:latin typeface="Segoe UI"/>
              <a:cs typeface="Segoe UI"/>
            </a:rPr>
            <a:t>✓</a:t>
          </a:r>
        </a:p>
      </xdr:txBody>
    </xdr:sp>
    <xdr:clientData/>
  </xdr:twoCellAnchor>
  <xdr:twoCellAnchor editAs="absolute">
    <xdr:from>
      <xdr:col>6</xdr:col>
      <xdr:colOff>95250</xdr:colOff>
      <xdr:row>34</xdr:row>
      <xdr:rowOff>76200</xdr:rowOff>
    </xdr:from>
    <xdr:to>
      <xdr:col>7</xdr:col>
      <xdr:colOff>276225</xdr:colOff>
      <xdr:row>36</xdr:row>
      <xdr:rowOff>28575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SpPr txBox="1"/>
      </xdr:nvSpPr>
      <xdr:spPr>
        <a:xfrm>
          <a:off x="3752850" y="6553200"/>
          <a:ext cx="790575" cy="333375"/>
        </a:xfrm>
        <a:prstGeom prst="rect">
          <a:avLst/>
        </a:prstGeom>
        <a:solidFill>
          <a:srgbClr val="F0D0C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8A3524"/>
              </a:solidFill>
              <a:latin typeface="Segoe UI"/>
              <a:cs typeface="Segoe UI"/>
            </a:rPr>
            <a:t>NO</a:t>
          </a:r>
        </a:p>
      </xdr:txBody>
    </xdr:sp>
    <xdr:clientData/>
  </xdr:twoCellAnchor>
  <xdr:twoCellAnchor editAs="absolute">
    <xdr:from>
      <xdr:col>7</xdr:col>
      <xdr:colOff>304800</xdr:colOff>
      <xdr:row>34</xdr:row>
      <xdr:rowOff>76200</xdr:rowOff>
    </xdr:from>
    <xdr:to>
      <xdr:col>15</xdr:col>
      <xdr:colOff>542925</xdr:colOff>
      <xdr:row>36</xdr:row>
      <xdr:rowOff>28575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SpPr txBox="1"/>
      </xdr:nvSpPr>
      <xdr:spPr>
        <a:xfrm>
          <a:off x="4572000" y="6553200"/>
          <a:ext cx="5114925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0" i="0">
              <a:solidFill>
                <a:srgbClr val="1E2A26"/>
              </a:solidFill>
              <a:latin typeface="Segoe UI"/>
              <a:cs typeface="Segoe UI"/>
            </a:rPr>
            <a:t>Value depends on store density Nepal cannot supply</a:t>
          </a:r>
        </a:p>
      </xdr:txBody>
    </xdr:sp>
    <xdr:clientData/>
  </xdr:twoCellAnchor>
  <xdr:twoCellAnchor editAs="absolute">
    <xdr:from>
      <xdr:col>0</xdr:col>
      <xdr:colOff>419100</xdr:colOff>
      <xdr:row>36</xdr:row>
      <xdr:rowOff>57150</xdr:rowOff>
    </xdr:from>
    <xdr:to>
      <xdr:col>3</xdr:col>
      <xdr:colOff>371475</xdr:colOff>
      <xdr:row>38</xdr:row>
      <xdr:rowOff>9525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SpPr txBox="1"/>
      </xdr:nvSpPr>
      <xdr:spPr>
        <a:xfrm>
          <a:off x="419100" y="6915150"/>
          <a:ext cx="1781175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1" i="0">
              <a:solidFill>
                <a:srgbClr val="1E2A26"/>
              </a:solidFill>
              <a:latin typeface="Segoe UI"/>
              <a:cs typeface="Segoe UI"/>
            </a:rPr>
            <a:t>Real-estate capability</a:t>
          </a:r>
        </a:p>
      </xdr:txBody>
    </xdr:sp>
    <xdr:clientData/>
  </xdr:twoCellAnchor>
  <xdr:twoCellAnchor editAs="absolute">
    <xdr:from>
      <xdr:col>3</xdr:col>
      <xdr:colOff>400050</xdr:colOff>
      <xdr:row>36</xdr:row>
      <xdr:rowOff>57150</xdr:rowOff>
    </xdr:from>
    <xdr:to>
      <xdr:col>4</xdr:col>
      <xdr:colOff>142875</xdr:colOff>
      <xdr:row>38</xdr:row>
      <xdr:rowOff>9525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 txBox="1"/>
      </xdr:nvSpPr>
      <xdr:spPr>
        <a:xfrm>
          <a:off x="2228850" y="6915150"/>
          <a:ext cx="352425" cy="33337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0B5A3C"/>
              </a:solidFill>
              <a:latin typeface="Segoe UI"/>
              <a:cs typeface="Segoe UI"/>
            </a:rPr>
            <a:t>✓</a:t>
          </a:r>
        </a:p>
      </xdr:txBody>
    </xdr:sp>
    <xdr:clientData/>
  </xdr:twoCellAnchor>
  <xdr:twoCellAnchor editAs="absolute">
    <xdr:from>
      <xdr:col>4</xdr:col>
      <xdr:colOff>171450</xdr:colOff>
      <xdr:row>36</xdr:row>
      <xdr:rowOff>57150</xdr:rowOff>
    </xdr:from>
    <xdr:to>
      <xdr:col>4</xdr:col>
      <xdr:colOff>523875</xdr:colOff>
      <xdr:row>38</xdr:row>
      <xdr:rowOff>9525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SpPr txBox="1"/>
      </xdr:nvSpPr>
      <xdr:spPr>
        <a:xfrm>
          <a:off x="2609850" y="6915150"/>
          <a:ext cx="352425" cy="333375"/>
        </a:xfrm>
        <a:prstGeom prst="rect">
          <a:avLst/>
        </a:prstGeom>
        <a:solidFill>
          <a:srgbClr val="F0D0C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8A3524"/>
              </a:solidFill>
              <a:latin typeface="Segoe UI"/>
              <a:cs typeface="Segoe UI"/>
            </a:rPr>
            <a:t>✗</a:t>
          </a:r>
        </a:p>
      </xdr:txBody>
    </xdr:sp>
    <xdr:clientData/>
  </xdr:twoCellAnchor>
  <xdr:twoCellAnchor editAs="absolute">
    <xdr:from>
      <xdr:col>4</xdr:col>
      <xdr:colOff>552450</xdr:colOff>
      <xdr:row>36</xdr:row>
      <xdr:rowOff>57150</xdr:rowOff>
    </xdr:from>
    <xdr:to>
      <xdr:col>5</xdr:col>
      <xdr:colOff>295275</xdr:colOff>
      <xdr:row>38</xdr:row>
      <xdr:rowOff>9525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SpPr txBox="1"/>
      </xdr:nvSpPr>
      <xdr:spPr>
        <a:xfrm>
          <a:off x="2990850" y="6915150"/>
          <a:ext cx="352425" cy="333375"/>
        </a:xfrm>
        <a:prstGeom prst="rect">
          <a:avLst/>
        </a:prstGeom>
        <a:solidFill>
          <a:srgbClr val="F0D0C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8A3524"/>
              </a:solidFill>
              <a:latin typeface="Segoe UI"/>
              <a:cs typeface="Segoe UI"/>
            </a:rPr>
            <a:t>✗</a:t>
          </a:r>
        </a:p>
      </xdr:txBody>
    </xdr:sp>
    <xdr:clientData/>
  </xdr:twoCellAnchor>
  <xdr:twoCellAnchor editAs="absolute">
    <xdr:from>
      <xdr:col>5</xdr:col>
      <xdr:colOff>323850</xdr:colOff>
      <xdr:row>36</xdr:row>
      <xdr:rowOff>57150</xdr:rowOff>
    </xdr:from>
    <xdr:to>
      <xdr:col>6</xdr:col>
      <xdr:colOff>66675</xdr:colOff>
      <xdr:row>38</xdr:row>
      <xdr:rowOff>9525</xdr:rowOff>
    </xdr:to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SpPr txBox="1"/>
      </xdr:nvSpPr>
      <xdr:spPr>
        <a:xfrm>
          <a:off x="3371850" y="6915150"/>
          <a:ext cx="352425" cy="33337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0B5A3C"/>
              </a:solidFill>
              <a:latin typeface="Segoe UI"/>
              <a:cs typeface="Segoe UI"/>
            </a:rPr>
            <a:t>✓</a:t>
          </a:r>
        </a:p>
      </xdr:txBody>
    </xdr:sp>
    <xdr:clientData/>
  </xdr:twoCellAnchor>
  <xdr:twoCellAnchor editAs="absolute">
    <xdr:from>
      <xdr:col>6</xdr:col>
      <xdr:colOff>95250</xdr:colOff>
      <xdr:row>36</xdr:row>
      <xdr:rowOff>57150</xdr:rowOff>
    </xdr:from>
    <xdr:to>
      <xdr:col>7</xdr:col>
      <xdr:colOff>276225</xdr:colOff>
      <xdr:row>38</xdr:row>
      <xdr:rowOff>9525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SpPr txBox="1"/>
      </xdr:nvSpPr>
      <xdr:spPr>
        <a:xfrm>
          <a:off x="3752850" y="6915150"/>
          <a:ext cx="790575" cy="333375"/>
        </a:xfrm>
        <a:prstGeom prst="rect">
          <a:avLst/>
        </a:prstGeom>
        <a:solidFill>
          <a:srgbClr val="F0D0C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8A3524"/>
              </a:solidFill>
              <a:latin typeface="Segoe UI"/>
              <a:cs typeface="Segoe UI"/>
            </a:rPr>
            <a:t>NO</a:t>
          </a:r>
        </a:p>
      </xdr:txBody>
    </xdr:sp>
    <xdr:clientData/>
  </xdr:twoCellAnchor>
  <xdr:twoCellAnchor editAs="absolute">
    <xdr:from>
      <xdr:col>7</xdr:col>
      <xdr:colOff>304800</xdr:colOff>
      <xdr:row>36</xdr:row>
      <xdr:rowOff>57150</xdr:rowOff>
    </xdr:from>
    <xdr:to>
      <xdr:col>15</xdr:col>
      <xdr:colOff>542925</xdr:colOff>
      <xdr:row>38</xdr:row>
      <xdr:rowOff>9525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SpPr txBox="1"/>
      </xdr:nvSpPr>
      <xdr:spPr>
        <a:xfrm>
          <a:off x="4572000" y="6915150"/>
          <a:ext cx="5114925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0" i="0">
              <a:solidFill>
                <a:srgbClr val="1E2A26"/>
              </a:solidFill>
              <a:latin typeface="Segoe UI"/>
              <a:cs typeface="Segoe UI"/>
            </a:rPr>
            <a:t>Advantage is a function of mature-market scale</a:t>
          </a:r>
        </a:p>
      </xdr:txBody>
    </xdr:sp>
    <xdr:clientData/>
  </xdr:twoCellAnchor>
  <xdr:twoCellAnchor editAs="absolute">
    <xdr:from>
      <xdr:col>16</xdr:col>
      <xdr:colOff>171450</xdr:colOff>
      <xdr:row>21</xdr:row>
      <xdr:rowOff>114300</xdr:rowOff>
    </xdr:from>
    <xdr:to>
      <xdr:col>24</xdr:col>
      <xdr:colOff>266700</xdr:colOff>
      <xdr:row>40</xdr:row>
      <xdr:rowOff>19050</xdr:rowOff>
    </xdr:to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SpPr txBox="1"/>
      </xdr:nvSpPr>
      <xdr:spPr>
        <a:xfrm>
          <a:off x="9925050" y="4114800"/>
          <a:ext cx="4972050" cy="3524250"/>
        </a:xfrm>
        <a:prstGeom prst="rect">
          <a:avLst/>
        </a:prstGeom>
        <a:solidFill>
          <a:srgbClr val="FFFFFF"/>
        </a:solidFill>
        <a:ln w="9525" cmpd="sng">
          <a:solidFill>
            <a:srgbClr val="E3DED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16</xdr:col>
      <xdr:colOff>342900</xdr:colOff>
      <xdr:row>22</xdr:row>
      <xdr:rowOff>38100</xdr:rowOff>
    </xdr:from>
    <xdr:to>
      <xdr:col>24</xdr:col>
      <xdr:colOff>95250</xdr:colOff>
      <xdr:row>23</xdr:row>
      <xdr:rowOff>95250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SpPr txBox="1"/>
      </xdr:nvSpPr>
      <xdr:spPr>
        <a:xfrm>
          <a:off x="10096500" y="4229100"/>
          <a:ext cx="46291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 i="0">
              <a:solidFill>
                <a:srgbClr val="1E3932"/>
              </a:solidFill>
              <a:latin typeface="Segoe UI"/>
              <a:cs typeface="Segoe UI"/>
            </a:rPr>
            <a:t>What Nepal's FDI rules allow</a:t>
          </a:r>
        </a:p>
      </xdr:txBody>
    </xdr:sp>
    <xdr:clientData/>
  </xdr:twoCellAnchor>
  <xdr:twoCellAnchor editAs="absolute">
    <xdr:from>
      <xdr:col>16</xdr:col>
      <xdr:colOff>342900</xdr:colOff>
      <xdr:row>23</xdr:row>
      <xdr:rowOff>95250</xdr:rowOff>
    </xdr:from>
    <xdr:to>
      <xdr:col>24</xdr:col>
      <xdr:colOff>95250</xdr:colOff>
      <xdr:row>24</xdr:row>
      <xdr:rowOff>95250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SpPr txBox="1"/>
      </xdr:nvSpPr>
      <xdr:spPr>
        <a:xfrm>
          <a:off x="10096500" y="4476750"/>
          <a:ext cx="462915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0" i="0">
              <a:solidFill>
                <a:srgbClr val="6B7A74"/>
              </a:solidFill>
              <a:latin typeface="Segoe UI"/>
              <a:cs typeface="Segoe UI"/>
            </a:rPr>
            <a:t>FITTA 2019 · Department of Industries (2026) · Nepal Gazette (2026)</a:t>
          </a:r>
        </a:p>
      </xdr:txBody>
    </xdr:sp>
    <xdr:clientData/>
  </xdr:twoCellAnchor>
  <xdr:twoCellAnchor editAs="absolute">
    <xdr:from>
      <xdr:col>16</xdr:col>
      <xdr:colOff>323850</xdr:colOff>
      <xdr:row>24</xdr:row>
      <xdr:rowOff>171450</xdr:rowOff>
    </xdr:from>
    <xdr:to>
      <xdr:col>19</xdr:col>
      <xdr:colOff>114300</xdr:colOff>
      <xdr:row>27</xdr:row>
      <xdr:rowOff>19050</xdr:rowOff>
    </xdr:to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000000-0008-0000-0300-00005A000000}"/>
            </a:ext>
          </a:extLst>
        </xdr:cNvPr>
        <xdr:cNvSpPr txBox="1"/>
      </xdr:nvSpPr>
      <xdr:spPr>
        <a:xfrm>
          <a:off x="10077450" y="4743450"/>
          <a:ext cx="1619250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1" i="0">
              <a:solidFill>
                <a:srgbClr val="1E3932"/>
              </a:solidFill>
              <a:latin typeface="Segoe UI"/>
              <a:cs typeface="Segoe UI"/>
            </a:rPr>
            <a:t>Governing legislation</a:t>
          </a:r>
        </a:p>
      </xdr:txBody>
    </xdr:sp>
    <xdr:clientData/>
  </xdr:twoCellAnchor>
  <xdr:twoCellAnchor editAs="absolute">
    <xdr:from>
      <xdr:col>19</xdr:col>
      <xdr:colOff>114300</xdr:colOff>
      <xdr:row>24</xdr:row>
      <xdr:rowOff>171450</xdr:rowOff>
    </xdr:from>
    <xdr:to>
      <xdr:col>24</xdr:col>
      <xdr:colOff>133350</xdr:colOff>
      <xdr:row>27</xdr:row>
      <xdr:rowOff>19050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SpPr txBox="1"/>
      </xdr:nvSpPr>
      <xdr:spPr>
        <a:xfrm>
          <a:off x="11696700" y="4743450"/>
          <a:ext cx="3067050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0" i="0">
              <a:solidFill>
                <a:srgbClr val="1E2A26"/>
              </a:solidFill>
              <a:latin typeface="Segoe UI"/>
              <a:cs typeface="Segoe UI"/>
            </a:rPr>
            <a:t>FITTA 2019; Industrial Enterprises Act 2020</a:t>
          </a:r>
        </a:p>
      </xdr:txBody>
    </xdr:sp>
    <xdr:clientData/>
  </xdr:twoCellAnchor>
  <xdr:twoCellAnchor editAs="absolute">
    <xdr:from>
      <xdr:col>16</xdr:col>
      <xdr:colOff>323850</xdr:colOff>
      <xdr:row>27</xdr:row>
      <xdr:rowOff>66675</xdr:rowOff>
    </xdr:from>
    <xdr:to>
      <xdr:col>19</xdr:col>
      <xdr:colOff>114300</xdr:colOff>
      <xdr:row>29</xdr:row>
      <xdr:rowOff>104775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0000000-0008-0000-0300-00005C000000}"/>
            </a:ext>
          </a:extLst>
        </xdr:cNvPr>
        <xdr:cNvSpPr txBox="1"/>
      </xdr:nvSpPr>
      <xdr:spPr>
        <a:xfrm>
          <a:off x="10077450" y="5210175"/>
          <a:ext cx="1619250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1" i="0">
              <a:solidFill>
                <a:srgbClr val="1E3932"/>
              </a:solidFill>
              <a:latin typeface="Segoe UI"/>
              <a:cs typeface="Segoe UI"/>
            </a:rPr>
            <a:t>Retail restriction</a:t>
          </a:r>
        </a:p>
      </xdr:txBody>
    </xdr:sp>
    <xdr:clientData/>
  </xdr:twoCellAnchor>
  <xdr:twoCellAnchor editAs="absolute">
    <xdr:from>
      <xdr:col>19</xdr:col>
      <xdr:colOff>114300</xdr:colOff>
      <xdr:row>27</xdr:row>
      <xdr:rowOff>66675</xdr:rowOff>
    </xdr:from>
    <xdr:to>
      <xdr:col>24</xdr:col>
      <xdr:colOff>133350</xdr:colOff>
      <xdr:row>29</xdr:row>
      <xdr:rowOff>104775</xdr:rowOff>
    </xdr:to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300-00005D000000}"/>
            </a:ext>
          </a:extLst>
        </xdr:cNvPr>
        <xdr:cNvSpPr txBox="1"/>
      </xdr:nvSpPr>
      <xdr:spPr>
        <a:xfrm>
          <a:off x="11696700" y="5210175"/>
          <a:ext cx="3067050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0" i="0">
              <a:solidFill>
                <a:srgbClr val="1E2A26"/>
              </a:solidFill>
              <a:latin typeface="Segoe UI"/>
              <a:cs typeface="Segoe UI"/>
            </a:rPr>
            <a:t>Retail business restricted, BUT excludes international chain retail trading in ≥2 countries</a:t>
          </a:r>
        </a:p>
      </xdr:txBody>
    </xdr:sp>
    <xdr:clientData/>
  </xdr:twoCellAnchor>
  <xdr:twoCellAnchor editAs="absolute">
    <xdr:from>
      <xdr:col>16</xdr:col>
      <xdr:colOff>323850</xdr:colOff>
      <xdr:row>29</xdr:row>
      <xdr:rowOff>152400</xdr:rowOff>
    </xdr:from>
    <xdr:to>
      <xdr:col>19</xdr:col>
      <xdr:colOff>114300</xdr:colOff>
      <xdr:row>32</xdr:row>
      <xdr:rowOff>0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0000000-0008-0000-0300-00005E000000}"/>
            </a:ext>
          </a:extLst>
        </xdr:cNvPr>
        <xdr:cNvSpPr txBox="1"/>
      </xdr:nvSpPr>
      <xdr:spPr>
        <a:xfrm>
          <a:off x="10077450" y="5676900"/>
          <a:ext cx="1619250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1" i="0">
              <a:solidFill>
                <a:srgbClr val="1E3932"/>
              </a:solidFill>
              <a:latin typeface="Segoe UI"/>
              <a:cs typeface="Segoe UI"/>
            </a:rPr>
            <a:t>Local catering</a:t>
          </a:r>
        </a:p>
      </xdr:txBody>
    </xdr:sp>
    <xdr:clientData/>
  </xdr:twoCellAnchor>
  <xdr:twoCellAnchor editAs="absolute">
    <xdr:from>
      <xdr:col>19</xdr:col>
      <xdr:colOff>114300</xdr:colOff>
      <xdr:row>29</xdr:row>
      <xdr:rowOff>152400</xdr:rowOff>
    </xdr:from>
    <xdr:to>
      <xdr:col>24</xdr:col>
      <xdr:colOff>133350</xdr:colOff>
      <xdr:row>32</xdr:row>
      <xdr:rowOff>0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0000000-0008-0000-0300-00005F000000}"/>
            </a:ext>
          </a:extLst>
        </xdr:cNvPr>
        <xdr:cNvSpPr txBox="1"/>
      </xdr:nvSpPr>
      <xdr:spPr>
        <a:xfrm>
          <a:off x="11696700" y="5676900"/>
          <a:ext cx="3067050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0" i="0">
              <a:solidFill>
                <a:srgbClr val="1E2A26"/>
              </a:solidFill>
              <a:latin typeface="Segoe UI"/>
              <a:cs typeface="Segoe UI"/>
            </a:rPr>
            <a:t>Closed to foreign equity</a:t>
          </a:r>
        </a:p>
      </xdr:txBody>
    </xdr:sp>
    <xdr:clientData/>
  </xdr:twoCellAnchor>
  <xdr:twoCellAnchor editAs="absolute">
    <xdr:from>
      <xdr:col>16</xdr:col>
      <xdr:colOff>323850</xdr:colOff>
      <xdr:row>32</xdr:row>
      <xdr:rowOff>47625</xdr:rowOff>
    </xdr:from>
    <xdr:to>
      <xdr:col>19</xdr:col>
      <xdr:colOff>114300</xdr:colOff>
      <xdr:row>34</xdr:row>
      <xdr:rowOff>85725</xdr:rowOff>
    </xdr:to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0000000-0008-0000-0300-000060000000}"/>
            </a:ext>
          </a:extLst>
        </xdr:cNvPr>
        <xdr:cNvSpPr txBox="1"/>
      </xdr:nvSpPr>
      <xdr:spPr>
        <a:xfrm>
          <a:off x="10077450" y="6143625"/>
          <a:ext cx="1619250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1" i="0">
              <a:solidFill>
                <a:srgbClr val="1E3932"/>
              </a:solidFill>
              <a:latin typeface="Segoe UI"/>
              <a:cs typeface="Segoe UI"/>
            </a:rPr>
            <a:t>Automatic route expansion</a:t>
          </a:r>
        </a:p>
      </xdr:txBody>
    </xdr:sp>
    <xdr:clientData/>
  </xdr:twoCellAnchor>
  <xdr:twoCellAnchor editAs="absolute">
    <xdr:from>
      <xdr:col>19</xdr:col>
      <xdr:colOff>114300</xdr:colOff>
      <xdr:row>32</xdr:row>
      <xdr:rowOff>47625</xdr:rowOff>
    </xdr:from>
    <xdr:to>
      <xdr:col>24</xdr:col>
      <xdr:colOff>133350</xdr:colOff>
      <xdr:row>34</xdr:row>
      <xdr:rowOff>85725</xdr:rowOff>
    </xdr:to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0000000-0008-0000-0300-000061000000}"/>
            </a:ext>
          </a:extLst>
        </xdr:cNvPr>
        <xdr:cNvSpPr txBox="1"/>
      </xdr:nvSpPr>
      <xdr:spPr>
        <a:xfrm>
          <a:off x="11696700" y="6143625"/>
          <a:ext cx="3067050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0" i="0">
              <a:solidFill>
                <a:srgbClr val="1E2A26"/>
              </a:solidFill>
              <a:latin typeface="Segoe UI"/>
              <a:cs typeface="Segoe UI"/>
            </a:rPr>
            <a:t>102 industry areas; NPR 500m ceiling removed</a:t>
          </a:r>
        </a:p>
      </xdr:txBody>
    </xdr:sp>
    <xdr:clientData/>
  </xdr:twoCellAnchor>
  <xdr:twoCellAnchor editAs="absolute">
    <xdr:from>
      <xdr:col>16</xdr:col>
      <xdr:colOff>323850</xdr:colOff>
      <xdr:row>34</xdr:row>
      <xdr:rowOff>133350</xdr:rowOff>
    </xdr:from>
    <xdr:to>
      <xdr:col>19</xdr:col>
      <xdr:colOff>114300</xdr:colOff>
      <xdr:row>36</xdr:row>
      <xdr:rowOff>171450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0000000-0008-0000-0300-000062000000}"/>
            </a:ext>
          </a:extLst>
        </xdr:cNvPr>
        <xdr:cNvSpPr txBox="1"/>
      </xdr:nvSpPr>
      <xdr:spPr>
        <a:xfrm>
          <a:off x="10077450" y="6610350"/>
          <a:ext cx="1619250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1" i="0">
              <a:solidFill>
                <a:srgbClr val="1E3932"/>
              </a:solidFill>
              <a:latin typeface="Segoe UI"/>
              <a:cs typeface="Segoe UI"/>
            </a:rPr>
            <a:t>Required documents</a:t>
          </a:r>
        </a:p>
      </xdr:txBody>
    </xdr:sp>
    <xdr:clientData/>
  </xdr:twoCellAnchor>
  <xdr:twoCellAnchor editAs="absolute">
    <xdr:from>
      <xdr:col>19</xdr:col>
      <xdr:colOff>114300</xdr:colOff>
      <xdr:row>34</xdr:row>
      <xdr:rowOff>133350</xdr:rowOff>
    </xdr:from>
    <xdr:to>
      <xdr:col>24</xdr:col>
      <xdr:colOff>133350</xdr:colOff>
      <xdr:row>36</xdr:row>
      <xdr:rowOff>171450</xdr:rowOff>
    </xdr:to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00000000-0008-0000-0300-000063000000}"/>
            </a:ext>
          </a:extLst>
        </xdr:cNvPr>
        <xdr:cNvSpPr txBox="1"/>
      </xdr:nvSpPr>
      <xdr:spPr>
        <a:xfrm>
          <a:off x="11696700" y="6610350"/>
          <a:ext cx="3067050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0" i="0">
              <a:solidFill>
                <a:srgbClr val="1E2A26"/>
              </a:solidFill>
              <a:latin typeface="Segoe UI"/>
              <a:cs typeface="Segoe UI"/>
            </a:rPr>
            <a:t>Project report, JVA (if &gt;1 investor), home-bank Financial Credibility Certificate</a:t>
          </a:r>
        </a:p>
      </xdr:txBody>
    </xdr:sp>
    <xdr:clientData/>
  </xdr:twoCellAnchor>
  <xdr:twoCellAnchor editAs="absolute">
    <xdr:from>
      <xdr:col>16</xdr:col>
      <xdr:colOff>323850</xdr:colOff>
      <xdr:row>37</xdr:row>
      <xdr:rowOff>28575</xdr:rowOff>
    </xdr:from>
    <xdr:to>
      <xdr:col>19</xdr:col>
      <xdr:colOff>114300</xdr:colOff>
      <xdr:row>39</xdr:row>
      <xdr:rowOff>66675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00000000-0008-0000-0300-000064000000}"/>
            </a:ext>
          </a:extLst>
        </xdr:cNvPr>
        <xdr:cNvSpPr txBox="1"/>
      </xdr:nvSpPr>
      <xdr:spPr>
        <a:xfrm>
          <a:off x="10077450" y="7077075"/>
          <a:ext cx="1619250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1" i="0">
              <a:solidFill>
                <a:srgbClr val="1E3932"/>
              </a:solidFill>
              <a:latin typeface="Segoe UI"/>
              <a:cs typeface="Segoe UI"/>
            </a:rPr>
            <a:t>Currency</a:t>
          </a:r>
        </a:p>
      </xdr:txBody>
    </xdr:sp>
    <xdr:clientData/>
  </xdr:twoCellAnchor>
  <xdr:twoCellAnchor editAs="absolute">
    <xdr:from>
      <xdr:col>19</xdr:col>
      <xdr:colOff>114300</xdr:colOff>
      <xdr:row>37</xdr:row>
      <xdr:rowOff>28575</xdr:rowOff>
    </xdr:from>
    <xdr:to>
      <xdr:col>24</xdr:col>
      <xdr:colOff>133350</xdr:colOff>
      <xdr:row>39</xdr:row>
      <xdr:rowOff>66675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0000000-0008-0000-0300-000065000000}"/>
            </a:ext>
          </a:extLst>
        </xdr:cNvPr>
        <xdr:cNvSpPr txBox="1"/>
      </xdr:nvSpPr>
      <xdr:spPr>
        <a:xfrm>
          <a:off x="11696700" y="7077075"/>
          <a:ext cx="3067050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0" i="0">
              <a:solidFill>
                <a:srgbClr val="1E2A26"/>
              </a:solidFill>
              <a:latin typeface="Segoe UI"/>
              <a:cs typeface="Segoe UI"/>
            </a:rPr>
            <a:t>Pegged to Indian rupee</a:t>
          </a:r>
        </a:p>
      </xdr:txBody>
    </xdr:sp>
    <xdr:clientData/>
  </xdr:twoCellAnchor>
  <xdr:twoCellAnchor editAs="absolute">
    <xdr:from>
      <xdr:col>0</xdr:col>
      <xdr:colOff>342900</xdr:colOff>
      <xdr:row>40</xdr:row>
      <xdr:rowOff>171450</xdr:rowOff>
    </xdr:from>
    <xdr:to>
      <xdr:col>24</xdr:col>
      <xdr:colOff>266700</xdr:colOff>
      <xdr:row>55</xdr:row>
      <xdr:rowOff>76200</xdr:rowOff>
    </xdr:to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0000000-0008-0000-0300-000066000000}"/>
            </a:ext>
          </a:extLst>
        </xdr:cNvPr>
        <xdr:cNvSpPr txBox="1"/>
      </xdr:nvSpPr>
      <xdr:spPr>
        <a:xfrm>
          <a:off x="342900" y="7791450"/>
          <a:ext cx="14554200" cy="2762250"/>
        </a:xfrm>
        <a:prstGeom prst="rect">
          <a:avLst/>
        </a:prstGeom>
        <a:solidFill>
          <a:srgbClr val="FFFFFF"/>
        </a:solidFill>
        <a:ln w="9525" cmpd="sng">
          <a:solidFill>
            <a:srgbClr val="E3DED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0</xdr:col>
      <xdr:colOff>514350</xdr:colOff>
      <xdr:row>41</xdr:row>
      <xdr:rowOff>95250</xdr:rowOff>
    </xdr:from>
    <xdr:to>
      <xdr:col>24</xdr:col>
      <xdr:colOff>95250</xdr:colOff>
      <xdr:row>42</xdr:row>
      <xdr:rowOff>152400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00000000-0008-0000-0300-000067000000}"/>
            </a:ext>
          </a:extLst>
        </xdr:cNvPr>
        <xdr:cNvSpPr txBox="1"/>
      </xdr:nvSpPr>
      <xdr:spPr>
        <a:xfrm>
          <a:off x="514350" y="7905750"/>
          <a:ext cx="142113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 i="0">
              <a:solidFill>
                <a:srgbClr val="1E3932"/>
              </a:solidFill>
              <a:latin typeface="Segoe UI"/>
              <a:cs typeface="Segoe UI"/>
            </a:rPr>
            <a:t>Entry-mode assessment</a:t>
          </a:r>
        </a:p>
      </xdr:txBody>
    </xdr:sp>
    <xdr:clientData/>
  </xdr:twoCellAnchor>
  <xdr:twoCellAnchor editAs="absolute">
    <xdr:from>
      <xdr:col>0</xdr:col>
      <xdr:colOff>514350</xdr:colOff>
      <xdr:row>42</xdr:row>
      <xdr:rowOff>152400</xdr:rowOff>
    </xdr:from>
    <xdr:to>
      <xdr:col>24</xdr:col>
      <xdr:colOff>95250</xdr:colOff>
      <xdr:row>43</xdr:row>
      <xdr:rowOff>152400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00000000-0008-0000-0300-000068000000}"/>
            </a:ext>
          </a:extLst>
        </xdr:cNvPr>
        <xdr:cNvSpPr txBox="1"/>
      </xdr:nvSpPr>
      <xdr:spPr>
        <a:xfrm>
          <a:off x="514350" y="8153400"/>
          <a:ext cx="142113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0" i="0">
              <a:solidFill>
                <a:srgbClr val="6B7A74"/>
              </a:solidFill>
              <a:latin typeface="Segoe UI"/>
              <a:cs typeface="Segoe UI"/>
            </a:rPr>
            <a:t>Control · capability transfer · local knowledge · risk sharing · capital exposure</a:t>
          </a:r>
        </a:p>
      </xdr:txBody>
    </xdr:sp>
    <xdr:clientData/>
  </xdr:twoCellAnchor>
  <xdr:twoCellAnchor editAs="absolute">
    <xdr:from>
      <xdr:col>0</xdr:col>
      <xdr:colOff>495300</xdr:colOff>
      <xdr:row>44</xdr:row>
      <xdr:rowOff>38100</xdr:rowOff>
    </xdr:from>
    <xdr:to>
      <xdr:col>3</xdr:col>
      <xdr:colOff>66675</xdr:colOff>
      <xdr:row>46</xdr:row>
      <xdr:rowOff>47625</xdr:rowOff>
    </xdr:to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0000000-0008-0000-0300-000069000000}"/>
            </a:ext>
          </a:extLst>
        </xdr:cNvPr>
        <xdr:cNvSpPr txBox="1"/>
      </xdr:nvSpPr>
      <xdr:spPr>
        <a:xfrm>
          <a:off x="495300" y="8420100"/>
          <a:ext cx="1400175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1" i="0">
              <a:solidFill>
                <a:srgbClr val="6B7A74"/>
              </a:solidFill>
              <a:latin typeface="Segoe UI"/>
              <a:cs typeface="Segoe UI"/>
            </a:rPr>
            <a:t>Entry mode</a:t>
          </a:r>
        </a:p>
      </xdr:txBody>
    </xdr:sp>
    <xdr:clientData/>
  </xdr:twoCellAnchor>
  <xdr:twoCellAnchor editAs="absolute">
    <xdr:from>
      <xdr:col>3</xdr:col>
      <xdr:colOff>95250</xdr:colOff>
      <xdr:row>44</xdr:row>
      <xdr:rowOff>38100</xdr:rowOff>
    </xdr:from>
    <xdr:to>
      <xdr:col>4</xdr:col>
      <xdr:colOff>409575</xdr:colOff>
      <xdr:row>46</xdr:row>
      <xdr:rowOff>47625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00000000-0008-0000-0300-00006A000000}"/>
            </a:ext>
          </a:extLst>
        </xdr:cNvPr>
        <xdr:cNvSpPr txBox="1"/>
      </xdr:nvSpPr>
      <xdr:spPr>
        <a:xfrm>
          <a:off x="1924050" y="8420100"/>
          <a:ext cx="923925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6B7A74"/>
              </a:solidFill>
              <a:latin typeface="Segoe UI"/>
              <a:cs typeface="Segoe UI"/>
            </a:rPr>
            <a:t>Control</a:t>
          </a:r>
        </a:p>
      </xdr:txBody>
    </xdr:sp>
    <xdr:clientData/>
  </xdr:twoCellAnchor>
  <xdr:twoCellAnchor editAs="absolute">
    <xdr:from>
      <xdr:col>4</xdr:col>
      <xdr:colOff>438150</xdr:colOff>
      <xdr:row>44</xdr:row>
      <xdr:rowOff>38100</xdr:rowOff>
    </xdr:from>
    <xdr:to>
      <xdr:col>6</xdr:col>
      <xdr:colOff>523875</xdr:colOff>
      <xdr:row>46</xdr:row>
      <xdr:rowOff>47625</xdr:rowOff>
    </xdr:to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00000000-0008-0000-0300-00006B000000}"/>
            </a:ext>
          </a:extLst>
        </xdr:cNvPr>
        <xdr:cNvSpPr txBox="1"/>
      </xdr:nvSpPr>
      <xdr:spPr>
        <a:xfrm>
          <a:off x="2876550" y="8420100"/>
          <a:ext cx="1304925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6B7A74"/>
              </a:solidFill>
              <a:latin typeface="Segoe UI"/>
              <a:cs typeface="Segoe UI"/>
            </a:rPr>
            <a:t>Capability</a:t>
          </a:r>
        </a:p>
      </xdr:txBody>
    </xdr:sp>
    <xdr:clientData/>
  </xdr:twoCellAnchor>
  <xdr:twoCellAnchor editAs="absolute">
    <xdr:from>
      <xdr:col>6</xdr:col>
      <xdr:colOff>552450</xdr:colOff>
      <xdr:row>44</xdr:row>
      <xdr:rowOff>38100</xdr:rowOff>
    </xdr:from>
    <xdr:to>
      <xdr:col>9</xdr:col>
      <xdr:colOff>28575</xdr:colOff>
      <xdr:row>46</xdr:row>
      <xdr:rowOff>47625</xdr:rowOff>
    </xdr:to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0000000-0008-0000-0300-00006C000000}"/>
            </a:ext>
          </a:extLst>
        </xdr:cNvPr>
        <xdr:cNvSpPr txBox="1"/>
      </xdr:nvSpPr>
      <xdr:spPr>
        <a:xfrm>
          <a:off x="4210050" y="8420100"/>
          <a:ext cx="1304925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6B7A74"/>
              </a:solidFill>
              <a:latin typeface="Segoe UI"/>
              <a:cs typeface="Segoe UI"/>
            </a:rPr>
            <a:t>Local knowledge</a:t>
          </a:r>
        </a:p>
      </xdr:txBody>
    </xdr:sp>
    <xdr:clientData/>
  </xdr:twoCellAnchor>
  <xdr:twoCellAnchor editAs="absolute">
    <xdr:from>
      <xdr:col>9</xdr:col>
      <xdr:colOff>57150</xdr:colOff>
      <xdr:row>44</xdr:row>
      <xdr:rowOff>38100</xdr:rowOff>
    </xdr:from>
    <xdr:to>
      <xdr:col>10</xdr:col>
      <xdr:colOff>561975</xdr:colOff>
      <xdr:row>46</xdr:row>
      <xdr:rowOff>47625</xdr:rowOff>
    </xdr:to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0000000-0008-0000-0300-00006D000000}"/>
            </a:ext>
          </a:extLst>
        </xdr:cNvPr>
        <xdr:cNvSpPr txBox="1"/>
      </xdr:nvSpPr>
      <xdr:spPr>
        <a:xfrm>
          <a:off x="5543550" y="8420100"/>
          <a:ext cx="1114425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6B7A74"/>
              </a:solidFill>
              <a:latin typeface="Segoe UI"/>
              <a:cs typeface="Segoe UI"/>
            </a:rPr>
            <a:t>Risk sharing</a:t>
          </a:r>
        </a:p>
      </xdr:txBody>
    </xdr:sp>
    <xdr:clientData/>
  </xdr:twoCellAnchor>
  <xdr:twoCellAnchor editAs="absolute">
    <xdr:from>
      <xdr:col>10</xdr:col>
      <xdr:colOff>590550</xdr:colOff>
      <xdr:row>44</xdr:row>
      <xdr:rowOff>38100</xdr:rowOff>
    </xdr:from>
    <xdr:to>
      <xdr:col>13</xdr:col>
      <xdr:colOff>66675</xdr:colOff>
      <xdr:row>46</xdr:row>
      <xdr:rowOff>47625</xdr:rowOff>
    </xdr:to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00000000-0008-0000-0300-00006E000000}"/>
            </a:ext>
          </a:extLst>
        </xdr:cNvPr>
        <xdr:cNvSpPr txBox="1"/>
      </xdr:nvSpPr>
      <xdr:spPr>
        <a:xfrm>
          <a:off x="6686550" y="8420100"/>
          <a:ext cx="1304925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6B7A74"/>
              </a:solidFill>
              <a:latin typeface="Segoe UI"/>
              <a:cs typeface="Segoe UI"/>
            </a:rPr>
            <a:t>Capital</a:t>
          </a:r>
        </a:p>
      </xdr:txBody>
    </xdr:sp>
    <xdr:clientData/>
  </xdr:twoCellAnchor>
  <xdr:twoCellAnchor editAs="absolute">
    <xdr:from>
      <xdr:col>13</xdr:col>
      <xdr:colOff>95250</xdr:colOff>
      <xdr:row>44</xdr:row>
      <xdr:rowOff>38100</xdr:rowOff>
    </xdr:from>
    <xdr:to>
      <xdr:col>23</xdr:col>
      <xdr:colOff>352425</xdr:colOff>
      <xdr:row>46</xdr:row>
      <xdr:rowOff>47625</xdr:rowOff>
    </xdr:to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00000000-0008-0000-0300-00006F000000}"/>
            </a:ext>
          </a:extLst>
        </xdr:cNvPr>
        <xdr:cNvSpPr txBox="1"/>
      </xdr:nvSpPr>
      <xdr:spPr>
        <a:xfrm>
          <a:off x="8020050" y="8420100"/>
          <a:ext cx="6353175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1" i="0">
              <a:solidFill>
                <a:srgbClr val="6B7A74"/>
              </a:solidFill>
              <a:latin typeface="Segoe UI"/>
              <a:cs typeface="Segoe UI"/>
            </a:rPr>
            <a:t>Verdict</a:t>
          </a:r>
        </a:p>
      </xdr:txBody>
    </xdr:sp>
    <xdr:clientData/>
  </xdr:twoCellAnchor>
  <xdr:twoCellAnchor editAs="absolute">
    <xdr:from>
      <xdr:col>0</xdr:col>
      <xdr:colOff>495300</xdr:colOff>
      <xdr:row>46</xdr:row>
      <xdr:rowOff>76200</xdr:rowOff>
    </xdr:from>
    <xdr:to>
      <xdr:col>3</xdr:col>
      <xdr:colOff>66675</xdr:colOff>
      <xdr:row>48</xdr:row>
      <xdr:rowOff>85725</xdr:rowOff>
    </xdr:to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00000000-0008-0000-0300-000070000000}"/>
            </a:ext>
          </a:extLst>
        </xdr:cNvPr>
        <xdr:cNvSpPr txBox="1"/>
      </xdr:nvSpPr>
      <xdr:spPr>
        <a:xfrm>
          <a:off x="495300" y="8839200"/>
          <a:ext cx="1400175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1" i="0">
              <a:solidFill>
                <a:srgbClr val="1E2A26"/>
              </a:solidFill>
              <a:latin typeface="Segoe UI"/>
              <a:cs typeface="Segoe UI"/>
            </a:rPr>
            <a:t>Wholly owned</a:t>
          </a:r>
        </a:p>
      </xdr:txBody>
    </xdr:sp>
    <xdr:clientData/>
  </xdr:twoCellAnchor>
  <xdr:twoCellAnchor editAs="absolute">
    <xdr:from>
      <xdr:col>3</xdr:col>
      <xdr:colOff>95250</xdr:colOff>
      <xdr:row>46</xdr:row>
      <xdr:rowOff>76200</xdr:rowOff>
    </xdr:from>
    <xdr:to>
      <xdr:col>4</xdr:col>
      <xdr:colOff>409575</xdr:colOff>
      <xdr:row>48</xdr:row>
      <xdr:rowOff>85725</xdr:rowOff>
    </xdr:to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0000000-0008-0000-0300-000071000000}"/>
            </a:ext>
          </a:extLst>
        </xdr:cNvPr>
        <xdr:cNvSpPr txBox="1"/>
      </xdr:nvSpPr>
      <xdr:spPr>
        <a:xfrm>
          <a:off x="1924050" y="8839200"/>
          <a:ext cx="923925" cy="39052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0B5A3C"/>
              </a:solidFill>
              <a:latin typeface="Segoe UI"/>
              <a:cs typeface="Segoe UI"/>
            </a:rPr>
            <a:t>High</a:t>
          </a:r>
        </a:p>
      </xdr:txBody>
    </xdr:sp>
    <xdr:clientData/>
  </xdr:twoCellAnchor>
  <xdr:twoCellAnchor editAs="absolute">
    <xdr:from>
      <xdr:col>4</xdr:col>
      <xdr:colOff>438150</xdr:colOff>
      <xdr:row>46</xdr:row>
      <xdr:rowOff>76200</xdr:rowOff>
    </xdr:from>
    <xdr:to>
      <xdr:col>6</xdr:col>
      <xdr:colOff>523875</xdr:colOff>
      <xdr:row>48</xdr:row>
      <xdr:rowOff>85725</xdr:rowOff>
    </xdr:to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00000000-0008-0000-0300-000072000000}"/>
            </a:ext>
          </a:extLst>
        </xdr:cNvPr>
        <xdr:cNvSpPr txBox="1"/>
      </xdr:nvSpPr>
      <xdr:spPr>
        <a:xfrm>
          <a:off x="2876550" y="8839200"/>
          <a:ext cx="1304925" cy="39052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0B5A3C"/>
              </a:solidFill>
              <a:latin typeface="Segoe UI"/>
              <a:cs typeface="Segoe UI"/>
            </a:rPr>
            <a:t>High</a:t>
          </a:r>
        </a:p>
      </xdr:txBody>
    </xdr:sp>
    <xdr:clientData/>
  </xdr:twoCellAnchor>
  <xdr:twoCellAnchor editAs="absolute">
    <xdr:from>
      <xdr:col>6</xdr:col>
      <xdr:colOff>552450</xdr:colOff>
      <xdr:row>46</xdr:row>
      <xdr:rowOff>76200</xdr:rowOff>
    </xdr:from>
    <xdr:to>
      <xdr:col>9</xdr:col>
      <xdr:colOff>28575</xdr:colOff>
      <xdr:row>48</xdr:row>
      <xdr:rowOff>85725</xdr:rowOff>
    </xdr:to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00000000-0008-0000-0300-000073000000}"/>
            </a:ext>
          </a:extLst>
        </xdr:cNvPr>
        <xdr:cNvSpPr txBox="1"/>
      </xdr:nvSpPr>
      <xdr:spPr>
        <a:xfrm>
          <a:off x="4210050" y="8839200"/>
          <a:ext cx="1304925" cy="390525"/>
        </a:xfrm>
        <a:prstGeom prst="rect">
          <a:avLst/>
        </a:prstGeom>
        <a:solidFill>
          <a:srgbClr val="F0D0C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8A3524"/>
              </a:solidFill>
              <a:latin typeface="Segoe UI"/>
              <a:cs typeface="Segoe UI"/>
            </a:rPr>
            <a:t>Low</a:t>
          </a:r>
        </a:p>
      </xdr:txBody>
    </xdr:sp>
    <xdr:clientData/>
  </xdr:twoCellAnchor>
  <xdr:twoCellAnchor editAs="absolute">
    <xdr:from>
      <xdr:col>9</xdr:col>
      <xdr:colOff>57150</xdr:colOff>
      <xdr:row>46</xdr:row>
      <xdr:rowOff>76200</xdr:rowOff>
    </xdr:from>
    <xdr:to>
      <xdr:col>10</xdr:col>
      <xdr:colOff>561975</xdr:colOff>
      <xdr:row>48</xdr:row>
      <xdr:rowOff>85725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00000000-0008-0000-0300-000074000000}"/>
            </a:ext>
          </a:extLst>
        </xdr:cNvPr>
        <xdr:cNvSpPr txBox="1"/>
      </xdr:nvSpPr>
      <xdr:spPr>
        <a:xfrm>
          <a:off x="5543550" y="8839200"/>
          <a:ext cx="1114425" cy="390525"/>
        </a:xfrm>
        <a:prstGeom prst="rect">
          <a:avLst/>
        </a:prstGeom>
        <a:solidFill>
          <a:srgbClr val="F0D0C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8A3524"/>
              </a:solidFill>
              <a:latin typeface="Segoe UI"/>
              <a:cs typeface="Segoe UI"/>
            </a:rPr>
            <a:t>Low</a:t>
          </a:r>
        </a:p>
      </xdr:txBody>
    </xdr:sp>
    <xdr:clientData/>
  </xdr:twoCellAnchor>
  <xdr:twoCellAnchor editAs="absolute">
    <xdr:from>
      <xdr:col>10</xdr:col>
      <xdr:colOff>590550</xdr:colOff>
      <xdr:row>46</xdr:row>
      <xdr:rowOff>76200</xdr:rowOff>
    </xdr:from>
    <xdr:to>
      <xdr:col>13</xdr:col>
      <xdr:colOff>66675</xdr:colOff>
      <xdr:row>48</xdr:row>
      <xdr:rowOff>85725</xdr:rowOff>
    </xdr:to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00000000-0008-0000-0300-000075000000}"/>
            </a:ext>
          </a:extLst>
        </xdr:cNvPr>
        <xdr:cNvSpPr txBox="1"/>
      </xdr:nvSpPr>
      <xdr:spPr>
        <a:xfrm>
          <a:off x="6686550" y="8839200"/>
          <a:ext cx="1304925" cy="39052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0B5A3C"/>
              </a:solidFill>
              <a:latin typeface="Segoe UI"/>
              <a:cs typeface="Segoe UI"/>
            </a:rPr>
            <a:t>High</a:t>
          </a:r>
        </a:p>
      </xdr:txBody>
    </xdr:sp>
    <xdr:clientData/>
  </xdr:twoCellAnchor>
  <xdr:twoCellAnchor editAs="absolute">
    <xdr:from>
      <xdr:col>13</xdr:col>
      <xdr:colOff>95250</xdr:colOff>
      <xdr:row>46</xdr:row>
      <xdr:rowOff>76200</xdr:rowOff>
    </xdr:from>
    <xdr:to>
      <xdr:col>23</xdr:col>
      <xdr:colOff>352425</xdr:colOff>
      <xdr:row>48</xdr:row>
      <xdr:rowOff>85725</xdr:rowOff>
    </xdr:to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0000000-0008-0000-0300-000076000000}"/>
            </a:ext>
          </a:extLst>
        </xdr:cNvPr>
        <xdr:cNvSpPr txBox="1"/>
      </xdr:nvSpPr>
      <xdr:spPr>
        <a:xfrm>
          <a:off x="8020050" y="8839200"/>
          <a:ext cx="6353175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0" i="0">
              <a:solidFill>
                <a:srgbClr val="1E2A26"/>
              </a:solidFill>
              <a:latin typeface="Segoe UI"/>
              <a:cs typeface="Segoe UI"/>
            </a:rPr>
            <a:t>Rejected: concentrates institutional risk</a:t>
          </a:r>
        </a:p>
      </xdr:txBody>
    </xdr:sp>
    <xdr:clientData/>
  </xdr:twoCellAnchor>
  <xdr:twoCellAnchor editAs="absolute">
    <xdr:from>
      <xdr:col>0</xdr:col>
      <xdr:colOff>495300</xdr:colOff>
      <xdr:row>48</xdr:row>
      <xdr:rowOff>114300</xdr:rowOff>
    </xdr:from>
    <xdr:to>
      <xdr:col>3</xdr:col>
      <xdr:colOff>66675</xdr:colOff>
      <xdr:row>50</xdr:row>
      <xdr:rowOff>123825</xdr:rowOff>
    </xdr:to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00000000-0008-0000-0300-000077000000}"/>
            </a:ext>
          </a:extLst>
        </xdr:cNvPr>
        <xdr:cNvSpPr txBox="1"/>
      </xdr:nvSpPr>
      <xdr:spPr>
        <a:xfrm>
          <a:off x="495300" y="9258300"/>
          <a:ext cx="1400175" cy="390525"/>
        </a:xfrm>
        <a:prstGeom prst="rect">
          <a:avLst/>
        </a:prstGeom>
        <a:solidFill>
          <a:srgbClr val="E7F3ED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1" i="0">
              <a:solidFill>
                <a:srgbClr val="1E2A26"/>
              </a:solidFill>
              <a:latin typeface="Segoe UI"/>
              <a:cs typeface="Segoe UI"/>
            </a:rPr>
            <a:t>Joint venture</a:t>
          </a:r>
        </a:p>
      </xdr:txBody>
    </xdr:sp>
    <xdr:clientData/>
  </xdr:twoCellAnchor>
  <xdr:twoCellAnchor editAs="absolute">
    <xdr:from>
      <xdr:col>3</xdr:col>
      <xdr:colOff>95250</xdr:colOff>
      <xdr:row>48</xdr:row>
      <xdr:rowOff>114300</xdr:rowOff>
    </xdr:from>
    <xdr:to>
      <xdr:col>4</xdr:col>
      <xdr:colOff>409575</xdr:colOff>
      <xdr:row>50</xdr:row>
      <xdr:rowOff>123825</xdr:rowOff>
    </xdr:to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00000000-0008-0000-0300-000078000000}"/>
            </a:ext>
          </a:extLst>
        </xdr:cNvPr>
        <xdr:cNvSpPr txBox="1"/>
      </xdr:nvSpPr>
      <xdr:spPr>
        <a:xfrm>
          <a:off x="1924050" y="9258300"/>
          <a:ext cx="923925" cy="390525"/>
        </a:xfrm>
        <a:prstGeom prst="rect">
          <a:avLst/>
        </a:prstGeom>
        <a:solidFill>
          <a:srgbClr val="F3E2B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7A5A12"/>
              </a:solidFill>
              <a:latin typeface="Segoe UI"/>
              <a:cs typeface="Segoe UI"/>
            </a:rPr>
            <a:t>Shared</a:t>
          </a:r>
        </a:p>
      </xdr:txBody>
    </xdr:sp>
    <xdr:clientData/>
  </xdr:twoCellAnchor>
  <xdr:twoCellAnchor editAs="absolute">
    <xdr:from>
      <xdr:col>4</xdr:col>
      <xdr:colOff>438150</xdr:colOff>
      <xdr:row>48</xdr:row>
      <xdr:rowOff>114300</xdr:rowOff>
    </xdr:from>
    <xdr:to>
      <xdr:col>6</xdr:col>
      <xdr:colOff>523875</xdr:colOff>
      <xdr:row>50</xdr:row>
      <xdr:rowOff>123825</xdr:rowOff>
    </xdr:to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00000000-0008-0000-0300-000079000000}"/>
            </a:ext>
          </a:extLst>
        </xdr:cNvPr>
        <xdr:cNvSpPr txBox="1"/>
      </xdr:nvSpPr>
      <xdr:spPr>
        <a:xfrm>
          <a:off x="2876550" y="9258300"/>
          <a:ext cx="1304925" cy="39052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0B5A3C"/>
              </a:solidFill>
              <a:latin typeface="Segoe UI"/>
              <a:cs typeface="Segoe UI"/>
            </a:rPr>
            <a:t>High</a:t>
          </a:r>
        </a:p>
      </xdr:txBody>
    </xdr:sp>
    <xdr:clientData/>
  </xdr:twoCellAnchor>
  <xdr:twoCellAnchor editAs="absolute">
    <xdr:from>
      <xdr:col>6</xdr:col>
      <xdr:colOff>552450</xdr:colOff>
      <xdr:row>48</xdr:row>
      <xdr:rowOff>114300</xdr:rowOff>
    </xdr:from>
    <xdr:to>
      <xdr:col>9</xdr:col>
      <xdr:colOff>28575</xdr:colOff>
      <xdr:row>50</xdr:row>
      <xdr:rowOff>123825</xdr:rowOff>
    </xdr:to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00000000-0008-0000-0300-00007A000000}"/>
            </a:ext>
          </a:extLst>
        </xdr:cNvPr>
        <xdr:cNvSpPr txBox="1"/>
      </xdr:nvSpPr>
      <xdr:spPr>
        <a:xfrm>
          <a:off x="4210050" y="9258300"/>
          <a:ext cx="1304925" cy="39052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0B5A3C"/>
              </a:solidFill>
              <a:latin typeface="Segoe UI"/>
              <a:cs typeface="Segoe UI"/>
            </a:rPr>
            <a:t>High</a:t>
          </a:r>
        </a:p>
      </xdr:txBody>
    </xdr:sp>
    <xdr:clientData/>
  </xdr:twoCellAnchor>
  <xdr:twoCellAnchor editAs="absolute">
    <xdr:from>
      <xdr:col>9</xdr:col>
      <xdr:colOff>57150</xdr:colOff>
      <xdr:row>48</xdr:row>
      <xdr:rowOff>114300</xdr:rowOff>
    </xdr:from>
    <xdr:to>
      <xdr:col>10</xdr:col>
      <xdr:colOff>561975</xdr:colOff>
      <xdr:row>50</xdr:row>
      <xdr:rowOff>123825</xdr:rowOff>
    </xdr:to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00000000-0008-0000-0300-00007B000000}"/>
            </a:ext>
          </a:extLst>
        </xdr:cNvPr>
        <xdr:cNvSpPr txBox="1"/>
      </xdr:nvSpPr>
      <xdr:spPr>
        <a:xfrm>
          <a:off x="5543550" y="9258300"/>
          <a:ext cx="1114425" cy="39052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0B5A3C"/>
              </a:solidFill>
              <a:latin typeface="Segoe UI"/>
              <a:cs typeface="Segoe UI"/>
            </a:rPr>
            <a:t>High</a:t>
          </a:r>
        </a:p>
      </xdr:txBody>
    </xdr:sp>
    <xdr:clientData/>
  </xdr:twoCellAnchor>
  <xdr:twoCellAnchor editAs="absolute">
    <xdr:from>
      <xdr:col>10</xdr:col>
      <xdr:colOff>590550</xdr:colOff>
      <xdr:row>48</xdr:row>
      <xdr:rowOff>114300</xdr:rowOff>
    </xdr:from>
    <xdr:to>
      <xdr:col>13</xdr:col>
      <xdr:colOff>66675</xdr:colOff>
      <xdr:row>50</xdr:row>
      <xdr:rowOff>123825</xdr:rowOff>
    </xdr:to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00000000-0008-0000-0300-00007C000000}"/>
            </a:ext>
          </a:extLst>
        </xdr:cNvPr>
        <xdr:cNvSpPr txBox="1"/>
      </xdr:nvSpPr>
      <xdr:spPr>
        <a:xfrm>
          <a:off x="6686550" y="9258300"/>
          <a:ext cx="1304925" cy="390525"/>
        </a:xfrm>
        <a:prstGeom prst="rect">
          <a:avLst/>
        </a:prstGeom>
        <a:solidFill>
          <a:srgbClr val="F3E2B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7A5A12"/>
              </a:solidFill>
              <a:latin typeface="Segoe UI"/>
              <a:cs typeface="Segoe UI"/>
            </a:rPr>
            <a:t>Medium</a:t>
          </a:r>
        </a:p>
      </xdr:txBody>
    </xdr:sp>
    <xdr:clientData/>
  </xdr:twoCellAnchor>
  <xdr:twoCellAnchor editAs="absolute">
    <xdr:from>
      <xdr:col>13</xdr:col>
      <xdr:colOff>95250</xdr:colOff>
      <xdr:row>48</xdr:row>
      <xdr:rowOff>114300</xdr:rowOff>
    </xdr:from>
    <xdr:to>
      <xdr:col>23</xdr:col>
      <xdr:colOff>352425</xdr:colOff>
      <xdr:row>50</xdr:row>
      <xdr:rowOff>123825</xdr:rowOff>
    </xdr:to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00000000-0008-0000-0300-00007D000000}"/>
            </a:ext>
          </a:extLst>
        </xdr:cNvPr>
        <xdr:cNvSpPr txBox="1"/>
      </xdr:nvSpPr>
      <xdr:spPr>
        <a:xfrm>
          <a:off x="8020050" y="9258300"/>
          <a:ext cx="6353175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0" i="0">
              <a:solidFill>
                <a:srgbClr val="1E2A26"/>
              </a:solidFill>
              <a:latin typeface="Segoe UI"/>
              <a:cs typeface="Segoe UI"/>
            </a:rPr>
            <a:t>RECOMMENDED: balances control, capability and risk</a:t>
          </a:r>
        </a:p>
      </xdr:txBody>
    </xdr:sp>
    <xdr:clientData/>
  </xdr:twoCellAnchor>
  <xdr:twoCellAnchor editAs="absolute">
    <xdr:from>
      <xdr:col>0</xdr:col>
      <xdr:colOff>495300</xdr:colOff>
      <xdr:row>50</xdr:row>
      <xdr:rowOff>152400</xdr:rowOff>
    </xdr:from>
    <xdr:to>
      <xdr:col>3</xdr:col>
      <xdr:colOff>66675</xdr:colOff>
      <xdr:row>52</xdr:row>
      <xdr:rowOff>161925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00000000-0008-0000-0300-00007E000000}"/>
            </a:ext>
          </a:extLst>
        </xdr:cNvPr>
        <xdr:cNvSpPr txBox="1"/>
      </xdr:nvSpPr>
      <xdr:spPr>
        <a:xfrm>
          <a:off x="495300" y="9677400"/>
          <a:ext cx="1400175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1" i="0">
              <a:solidFill>
                <a:srgbClr val="1E2A26"/>
              </a:solidFill>
              <a:latin typeface="Segoe UI"/>
              <a:cs typeface="Segoe UI"/>
            </a:rPr>
            <a:t>Franchise</a:t>
          </a:r>
        </a:p>
      </xdr:txBody>
    </xdr:sp>
    <xdr:clientData/>
  </xdr:twoCellAnchor>
  <xdr:twoCellAnchor editAs="absolute">
    <xdr:from>
      <xdr:col>3</xdr:col>
      <xdr:colOff>95250</xdr:colOff>
      <xdr:row>50</xdr:row>
      <xdr:rowOff>152400</xdr:rowOff>
    </xdr:from>
    <xdr:to>
      <xdr:col>4</xdr:col>
      <xdr:colOff>409575</xdr:colOff>
      <xdr:row>52</xdr:row>
      <xdr:rowOff>161925</xdr:rowOff>
    </xdr:to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00000000-0008-0000-0300-00007F000000}"/>
            </a:ext>
          </a:extLst>
        </xdr:cNvPr>
        <xdr:cNvSpPr txBox="1"/>
      </xdr:nvSpPr>
      <xdr:spPr>
        <a:xfrm>
          <a:off x="1924050" y="9677400"/>
          <a:ext cx="923925" cy="390525"/>
        </a:xfrm>
        <a:prstGeom prst="rect">
          <a:avLst/>
        </a:prstGeom>
        <a:solidFill>
          <a:srgbClr val="F0D0C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8A3524"/>
              </a:solidFill>
              <a:latin typeface="Segoe UI"/>
              <a:cs typeface="Segoe UI"/>
            </a:rPr>
            <a:t>Low</a:t>
          </a:r>
        </a:p>
      </xdr:txBody>
    </xdr:sp>
    <xdr:clientData/>
  </xdr:twoCellAnchor>
  <xdr:twoCellAnchor editAs="absolute">
    <xdr:from>
      <xdr:col>4</xdr:col>
      <xdr:colOff>438150</xdr:colOff>
      <xdr:row>50</xdr:row>
      <xdr:rowOff>152400</xdr:rowOff>
    </xdr:from>
    <xdr:to>
      <xdr:col>6</xdr:col>
      <xdr:colOff>523875</xdr:colOff>
      <xdr:row>52</xdr:row>
      <xdr:rowOff>161925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00000000-0008-0000-0300-000080000000}"/>
            </a:ext>
          </a:extLst>
        </xdr:cNvPr>
        <xdr:cNvSpPr txBox="1"/>
      </xdr:nvSpPr>
      <xdr:spPr>
        <a:xfrm>
          <a:off x="2876550" y="9677400"/>
          <a:ext cx="1304925" cy="390525"/>
        </a:xfrm>
        <a:prstGeom prst="rect">
          <a:avLst/>
        </a:prstGeom>
        <a:solidFill>
          <a:srgbClr val="F3E2B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7A5A12"/>
              </a:solidFill>
              <a:latin typeface="Segoe UI"/>
              <a:cs typeface="Segoe UI"/>
            </a:rPr>
            <a:t>Medium</a:t>
          </a:r>
        </a:p>
      </xdr:txBody>
    </xdr:sp>
    <xdr:clientData/>
  </xdr:twoCellAnchor>
  <xdr:twoCellAnchor editAs="absolute">
    <xdr:from>
      <xdr:col>6</xdr:col>
      <xdr:colOff>552450</xdr:colOff>
      <xdr:row>50</xdr:row>
      <xdr:rowOff>152400</xdr:rowOff>
    </xdr:from>
    <xdr:to>
      <xdr:col>9</xdr:col>
      <xdr:colOff>28575</xdr:colOff>
      <xdr:row>52</xdr:row>
      <xdr:rowOff>161925</xdr:rowOff>
    </xdr:to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0000000-0008-0000-0300-000081000000}"/>
            </a:ext>
          </a:extLst>
        </xdr:cNvPr>
        <xdr:cNvSpPr txBox="1"/>
      </xdr:nvSpPr>
      <xdr:spPr>
        <a:xfrm>
          <a:off x="4210050" y="9677400"/>
          <a:ext cx="1304925" cy="39052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0B5A3C"/>
              </a:solidFill>
              <a:latin typeface="Segoe UI"/>
              <a:cs typeface="Segoe UI"/>
            </a:rPr>
            <a:t>High</a:t>
          </a:r>
        </a:p>
      </xdr:txBody>
    </xdr:sp>
    <xdr:clientData/>
  </xdr:twoCellAnchor>
  <xdr:twoCellAnchor editAs="absolute">
    <xdr:from>
      <xdr:col>9</xdr:col>
      <xdr:colOff>57150</xdr:colOff>
      <xdr:row>50</xdr:row>
      <xdr:rowOff>152400</xdr:rowOff>
    </xdr:from>
    <xdr:to>
      <xdr:col>10</xdr:col>
      <xdr:colOff>561975</xdr:colOff>
      <xdr:row>52</xdr:row>
      <xdr:rowOff>161925</xdr:rowOff>
    </xdr:to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00000000-0008-0000-0300-000082000000}"/>
            </a:ext>
          </a:extLst>
        </xdr:cNvPr>
        <xdr:cNvSpPr txBox="1"/>
      </xdr:nvSpPr>
      <xdr:spPr>
        <a:xfrm>
          <a:off x="5543550" y="9677400"/>
          <a:ext cx="1114425" cy="390525"/>
        </a:xfrm>
        <a:prstGeom prst="rect">
          <a:avLst/>
        </a:prstGeom>
        <a:solidFill>
          <a:srgbClr val="F3E2B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7A5A12"/>
              </a:solidFill>
              <a:latin typeface="Segoe UI"/>
              <a:cs typeface="Segoe UI"/>
            </a:rPr>
            <a:t>Medium</a:t>
          </a:r>
        </a:p>
      </xdr:txBody>
    </xdr:sp>
    <xdr:clientData/>
  </xdr:twoCellAnchor>
  <xdr:twoCellAnchor editAs="absolute">
    <xdr:from>
      <xdr:col>10</xdr:col>
      <xdr:colOff>590550</xdr:colOff>
      <xdr:row>50</xdr:row>
      <xdr:rowOff>152400</xdr:rowOff>
    </xdr:from>
    <xdr:to>
      <xdr:col>13</xdr:col>
      <xdr:colOff>66675</xdr:colOff>
      <xdr:row>52</xdr:row>
      <xdr:rowOff>161925</xdr:rowOff>
    </xdr:to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00000000-0008-0000-0300-000083000000}"/>
            </a:ext>
          </a:extLst>
        </xdr:cNvPr>
        <xdr:cNvSpPr txBox="1"/>
      </xdr:nvSpPr>
      <xdr:spPr>
        <a:xfrm>
          <a:off x="6686550" y="9677400"/>
          <a:ext cx="1304925" cy="390525"/>
        </a:xfrm>
        <a:prstGeom prst="rect">
          <a:avLst/>
        </a:prstGeom>
        <a:solidFill>
          <a:srgbClr val="F0D0C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8A3524"/>
              </a:solidFill>
              <a:latin typeface="Segoe UI"/>
              <a:cs typeface="Segoe UI"/>
            </a:rPr>
            <a:t>Low</a:t>
          </a:r>
        </a:p>
      </xdr:txBody>
    </xdr:sp>
    <xdr:clientData/>
  </xdr:twoCellAnchor>
  <xdr:twoCellAnchor editAs="absolute">
    <xdr:from>
      <xdr:col>13</xdr:col>
      <xdr:colOff>95250</xdr:colOff>
      <xdr:row>50</xdr:row>
      <xdr:rowOff>152400</xdr:rowOff>
    </xdr:from>
    <xdr:to>
      <xdr:col>23</xdr:col>
      <xdr:colOff>352425</xdr:colOff>
      <xdr:row>52</xdr:row>
      <xdr:rowOff>161925</xdr:rowOff>
    </xdr:to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0000000-0008-0000-0300-000084000000}"/>
            </a:ext>
          </a:extLst>
        </xdr:cNvPr>
        <xdr:cNvSpPr txBox="1"/>
      </xdr:nvSpPr>
      <xdr:spPr>
        <a:xfrm>
          <a:off x="8020050" y="9677400"/>
          <a:ext cx="6353175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0" i="0">
              <a:solidFill>
                <a:srgbClr val="1E2A26"/>
              </a:solidFill>
              <a:latin typeface="Segoe UI"/>
              <a:cs typeface="Segoe UI"/>
            </a:rPr>
            <a:t>Fallback: fastest footprint, weak control</a:t>
          </a:r>
        </a:p>
      </xdr:txBody>
    </xdr:sp>
    <xdr:clientData/>
  </xdr:twoCellAnchor>
  <xdr:twoCellAnchor editAs="absolute">
    <xdr:from>
      <xdr:col>0</xdr:col>
      <xdr:colOff>495300</xdr:colOff>
      <xdr:row>53</xdr:row>
      <xdr:rowOff>0</xdr:rowOff>
    </xdr:from>
    <xdr:to>
      <xdr:col>3</xdr:col>
      <xdr:colOff>66675</xdr:colOff>
      <xdr:row>55</xdr:row>
      <xdr:rowOff>9525</xdr:rowOff>
    </xdr:to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00000000-0008-0000-0300-000085000000}"/>
            </a:ext>
          </a:extLst>
        </xdr:cNvPr>
        <xdr:cNvSpPr txBox="1"/>
      </xdr:nvSpPr>
      <xdr:spPr>
        <a:xfrm>
          <a:off x="495300" y="10096500"/>
          <a:ext cx="1400175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1" i="0">
              <a:solidFill>
                <a:srgbClr val="1E2A26"/>
              </a:solidFill>
              <a:latin typeface="Segoe UI"/>
              <a:cs typeface="Segoe UI"/>
            </a:rPr>
            <a:t>Exporting</a:t>
          </a:r>
        </a:p>
      </xdr:txBody>
    </xdr:sp>
    <xdr:clientData/>
  </xdr:twoCellAnchor>
  <xdr:twoCellAnchor editAs="absolute">
    <xdr:from>
      <xdr:col>3</xdr:col>
      <xdr:colOff>95250</xdr:colOff>
      <xdr:row>53</xdr:row>
      <xdr:rowOff>0</xdr:rowOff>
    </xdr:from>
    <xdr:to>
      <xdr:col>4</xdr:col>
      <xdr:colOff>409575</xdr:colOff>
      <xdr:row>55</xdr:row>
      <xdr:rowOff>9525</xdr:rowOff>
    </xdr:to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00000000-0008-0000-0300-000086000000}"/>
            </a:ext>
          </a:extLst>
        </xdr:cNvPr>
        <xdr:cNvSpPr txBox="1"/>
      </xdr:nvSpPr>
      <xdr:spPr>
        <a:xfrm>
          <a:off x="1924050" y="10096500"/>
          <a:ext cx="923925" cy="390525"/>
        </a:xfrm>
        <a:prstGeom prst="rect">
          <a:avLst/>
        </a:prstGeom>
        <a:solidFill>
          <a:srgbClr val="F0D0C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8A3524"/>
              </a:solidFill>
              <a:latin typeface="Segoe UI"/>
              <a:cs typeface="Segoe UI"/>
            </a:rPr>
            <a:t>—</a:t>
          </a:r>
        </a:p>
      </xdr:txBody>
    </xdr:sp>
    <xdr:clientData/>
  </xdr:twoCellAnchor>
  <xdr:twoCellAnchor editAs="absolute">
    <xdr:from>
      <xdr:col>4</xdr:col>
      <xdr:colOff>438150</xdr:colOff>
      <xdr:row>53</xdr:row>
      <xdr:rowOff>0</xdr:rowOff>
    </xdr:from>
    <xdr:to>
      <xdr:col>6</xdr:col>
      <xdr:colOff>523875</xdr:colOff>
      <xdr:row>55</xdr:row>
      <xdr:rowOff>9525</xdr:rowOff>
    </xdr:to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00000000-0008-0000-0300-000087000000}"/>
            </a:ext>
          </a:extLst>
        </xdr:cNvPr>
        <xdr:cNvSpPr txBox="1"/>
      </xdr:nvSpPr>
      <xdr:spPr>
        <a:xfrm>
          <a:off x="2876550" y="10096500"/>
          <a:ext cx="1304925" cy="390525"/>
        </a:xfrm>
        <a:prstGeom prst="rect">
          <a:avLst/>
        </a:prstGeom>
        <a:solidFill>
          <a:srgbClr val="F0D0C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8A3524"/>
              </a:solidFill>
              <a:latin typeface="Segoe UI"/>
              <a:cs typeface="Segoe UI"/>
            </a:rPr>
            <a:t>Low</a:t>
          </a:r>
        </a:p>
      </xdr:txBody>
    </xdr:sp>
    <xdr:clientData/>
  </xdr:twoCellAnchor>
  <xdr:twoCellAnchor editAs="absolute">
    <xdr:from>
      <xdr:col>6</xdr:col>
      <xdr:colOff>552450</xdr:colOff>
      <xdr:row>53</xdr:row>
      <xdr:rowOff>0</xdr:rowOff>
    </xdr:from>
    <xdr:to>
      <xdr:col>9</xdr:col>
      <xdr:colOff>28575</xdr:colOff>
      <xdr:row>55</xdr:row>
      <xdr:rowOff>9525</xdr:rowOff>
    </xdr:to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00000000-0008-0000-0300-000088000000}"/>
            </a:ext>
          </a:extLst>
        </xdr:cNvPr>
        <xdr:cNvSpPr txBox="1"/>
      </xdr:nvSpPr>
      <xdr:spPr>
        <a:xfrm>
          <a:off x="4210050" y="10096500"/>
          <a:ext cx="1304925" cy="390525"/>
        </a:xfrm>
        <a:prstGeom prst="rect">
          <a:avLst/>
        </a:prstGeom>
        <a:solidFill>
          <a:srgbClr val="F0D0C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8A3524"/>
              </a:solidFill>
              <a:latin typeface="Segoe UI"/>
              <a:cs typeface="Segoe UI"/>
            </a:rPr>
            <a:t>Low</a:t>
          </a:r>
        </a:p>
      </xdr:txBody>
    </xdr:sp>
    <xdr:clientData/>
  </xdr:twoCellAnchor>
  <xdr:twoCellAnchor editAs="absolute">
    <xdr:from>
      <xdr:col>9</xdr:col>
      <xdr:colOff>57150</xdr:colOff>
      <xdr:row>53</xdr:row>
      <xdr:rowOff>0</xdr:rowOff>
    </xdr:from>
    <xdr:to>
      <xdr:col>10</xdr:col>
      <xdr:colOff>561975</xdr:colOff>
      <xdr:row>55</xdr:row>
      <xdr:rowOff>9525</xdr:rowOff>
    </xdr:to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00000000-0008-0000-0300-000089000000}"/>
            </a:ext>
          </a:extLst>
        </xdr:cNvPr>
        <xdr:cNvSpPr txBox="1"/>
      </xdr:nvSpPr>
      <xdr:spPr>
        <a:xfrm>
          <a:off x="5543550" y="10096500"/>
          <a:ext cx="1114425" cy="390525"/>
        </a:xfrm>
        <a:prstGeom prst="rect">
          <a:avLst/>
        </a:prstGeom>
        <a:solidFill>
          <a:srgbClr val="F0D0C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8A3524"/>
              </a:solidFill>
              <a:latin typeface="Segoe UI"/>
              <a:cs typeface="Segoe UI"/>
            </a:rPr>
            <a:t>Low</a:t>
          </a:r>
        </a:p>
      </xdr:txBody>
    </xdr:sp>
    <xdr:clientData/>
  </xdr:twoCellAnchor>
  <xdr:twoCellAnchor editAs="absolute">
    <xdr:from>
      <xdr:col>10</xdr:col>
      <xdr:colOff>590550</xdr:colOff>
      <xdr:row>53</xdr:row>
      <xdr:rowOff>0</xdr:rowOff>
    </xdr:from>
    <xdr:to>
      <xdr:col>13</xdr:col>
      <xdr:colOff>66675</xdr:colOff>
      <xdr:row>55</xdr:row>
      <xdr:rowOff>9525</xdr:rowOff>
    </xdr:to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00000000-0008-0000-0300-00008A000000}"/>
            </a:ext>
          </a:extLst>
        </xdr:cNvPr>
        <xdr:cNvSpPr txBox="1"/>
      </xdr:nvSpPr>
      <xdr:spPr>
        <a:xfrm>
          <a:off x="6686550" y="10096500"/>
          <a:ext cx="1304925" cy="390525"/>
        </a:xfrm>
        <a:prstGeom prst="rect">
          <a:avLst/>
        </a:prstGeom>
        <a:solidFill>
          <a:srgbClr val="F0D0C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8A3524"/>
              </a:solidFill>
              <a:latin typeface="Segoe UI"/>
              <a:cs typeface="Segoe UI"/>
            </a:rPr>
            <a:t>Low</a:t>
          </a:r>
        </a:p>
      </xdr:txBody>
    </xdr:sp>
    <xdr:clientData/>
  </xdr:twoCellAnchor>
  <xdr:twoCellAnchor editAs="absolute">
    <xdr:from>
      <xdr:col>13</xdr:col>
      <xdr:colOff>95250</xdr:colOff>
      <xdr:row>53</xdr:row>
      <xdr:rowOff>0</xdr:rowOff>
    </xdr:from>
    <xdr:to>
      <xdr:col>23</xdr:col>
      <xdr:colOff>352425</xdr:colOff>
      <xdr:row>55</xdr:row>
      <xdr:rowOff>9525</xdr:rowOff>
    </xdr:to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00000000-0008-0000-0300-00008B000000}"/>
            </a:ext>
          </a:extLst>
        </xdr:cNvPr>
        <xdr:cNvSpPr txBox="1"/>
      </xdr:nvSpPr>
      <xdr:spPr>
        <a:xfrm>
          <a:off x="8020050" y="10096500"/>
          <a:ext cx="6353175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0" i="0">
              <a:solidFill>
                <a:srgbClr val="1E2A26"/>
              </a:solidFill>
              <a:latin typeface="Segoe UI"/>
              <a:cs typeface="Segoe UI"/>
            </a:rPr>
            <a:t>Rejected: cannot deliver 'third place'</a:t>
          </a:r>
        </a:p>
      </xdr:txBody>
    </xdr:sp>
    <xdr:clientData/>
  </xdr:twoCellAnchor>
  <xdr:twoCellAnchor editAs="absolute">
    <xdr:from>
      <xdr:col>0</xdr:col>
      <xdr:colOff>342900</xdr:colOff>
      <xdr:row>55</xdr:row>
      <xdr:rowOff>171450</xdr:rowOff>
    </xdr:from>
    <xdr:to>
      <xdr:col>24</xdr:col>
      <xdr:colOff>266700</xdr:colOff>
      <xdr:row>1048576</xdr:row>
      <xdr:rowOff>76200</xdr:rowOff>
    </xdr:to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00000000-0008-0000-0300-00008C000000}"/>
            </a:ext>
          </a:extLst>
        </xdr:cNvPr>
        <xdr:cNvSpPr txBox="1"/>
      </xdr:nvSpPr>
      <xdr:spPr>
        <a:xfrm>
          <a:off x="342900" y="10648950"/>
          <a:ext cx="14554200" cy="666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900" b="0" i="1">
              <a:solidFill>
                <a:srgbClr val="6B7A74"/>
              </a:solidFill>
              <a:latin typeface="Segoe UI"/>
              <a:cs typeface="Segoe UI"/>
            </a:rPr>
            <a:t>OLI justifies equity entry without dictating its form. Internalisation is a matter of degree, not necessity.   Joint venture mirrors Starbucks' India JV (Fischer and Roy, 2017) and 2026 China restructuring (Starbucks, 2026a).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25</xdr:col>
      <xdr:colOff>0</xdr:colOff>
      <xdr:row>3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0" y="0"/>
          <a:ext cx="15240000" cy="742950"/>
        </a:xfrm>
        <a:prstGeom prst="rect">
          <a:avLst/>
        </a:prstGeom>
        <a:gradFill>
          <a:gsLst>
            <a:gs pos="0">
              <a:srgbClr val="1E3932"/>
            </a:gs>
            <a:gs pos="100000">
              <a:srgbClr val="2C5A4C"/>
            </a:gs>
          </a:gsLst>
          <a:lin ang="1200000" scaled="0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0</xdr:col>
      <xdr:colOff>342900</xdr:colOff>
      <xdr:row>0</xdr:row>
      <xdr:rowOff>133350</xdr:rowOff>
    </xdr:from>
    <xdr:to>
      <xdr:col>9</xdr:col>
      <xdr:colOff>190500</xdr:colOff>
      <xdr:row>3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342900" y="133350"/>
          <a:ext cx="5334000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800" b="1" i="0">
              <a:solidFill>
                <a:srgbClr val="FFFFFF"/>
              </a:solidFill>
              <a:latin typeface="Segoe UI"/>
              <a:cs typeface="Segoe UI"/>
            </a:rPr>
            <a:t>STARBUCKS × NEPAL · Entry Dashboard</a:t>
          </a:r>
        </a:p>
      </xdr:txBody>
    </xdr:sp>
    <xdr:clientData/>
  </xdr:twoCellAnchor>
  <xdr:twoCellAnchor editAs="absolute">
    <xdr:from>
      <xdr:col>11</xdr:col>
      <xdr:colOff>533400</xdr:colOff>
      <xdr:row>0</xdr:row>
      <xdr:rowOff>180975</xdr:rowOff>
    </xdr:from>
    <xdr:to>
      <xdr:col>14</xdr:col>
      <xdr:colOff>133350</xdr:colOff>
      <xdr:row>2</xdr:row>
      <xdr:rowOff>180975</xdr:rowOff>
    </xdr:to>
    <xdr:sp macro="" textlink="">
      <xdr:nvSpPr>
        <xdr:cNvPr id="4" name="TextBox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7239000" y="180975"/>
          <a:ext cx="1428750" cy="381000"/>
        </a:xfrm>
        <a:prstGeom prst="rect">
          <a:avLst/>
        </a:prstGeom>
        <a:noFill/>
        <a:ln w="9525" cmpd="sng">
          <a:solidFill>
            <a:srgbClr val="6F8F8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100" b="1" i="0">
              <a:solidFill>
                <a:srgbClr val="DDE8E3"/>
              </a:solidFill>
              <a:latin typeface="Segoe UI"/>
              <a:cs typeface="Segoe UI"/>
            </a:rPr>
            <a:t>Overview</a:t>
          </a:r>
        </a:p>
      </xdr:txBody>
    </xdr:sp>
    <xdr:clientData/>
  </xdr:twoCellAnchor>
  <xdr:twoCellAnchor editAs="absolute">
    <xdr:from>
      <xdr:col>14</xdr:col>
      <xdr:colOff>228600</xdr:colOff>
      <xdr:row>0</xdr:row>
      <xdr:rowOff>180975</xdr:rowOff>
    </xdr:from>
    <xdr:to>
      <xdr:col>16</xdr:col>
      <xdr:colOff>438150</xdr:colOff>
      <xdr:row>2</xdr:row>
      <xdr:rowOff>180975</xdr:rowOff>
    </xdr:to>
    <xdr:sp macro="" textlink="">
      <xdr:nvSpPr>
        <xdr:cNvPr id="5" name="TextBox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8763000" y="180975"/>
          <a:ext cx="1428750" cy="381000"/>
        </a:xfrm>
        <a:prstGeom prst="rect">
          <a:avLst/>
        </a:prstGeom>
        <a:noFill/>
        <a:ln w="9525" cmpd="sng">
          <a:solidFill>
            <a:srgbClr val="6F8F8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100" b="1" i="0">
              <a:solidFill>
                <a:srgbClr val="DDE8E3"/>
              </a:solidFill>
              <a:latin typeface="Segoe UI"/>
              <a:cs typeface="Segoe UI"/>
            </a:rPr>
            <a:t>Starbucks</a:t>
          </a:r>
        </a:p>
      </xdr:txBody>
    </xdr:sp>
    <xdr:clientData/>
  </xdr:twoCellAnchor>
  <xdr:twoCellAnchor editAs="absolute">
    <xdr:from>
      <xdr:col>16</xdr:col>
      <xdr:colOff>533400</xdr:colOff>
      <xdr:row>0</xdr:row>
      <xdr:rowOff>180975</xdr:rowOff>
    </xdr:from>
    <xdr:to>
      <xdr:col>19</xdr:col>
      <xdr:colOff>133350</xdr:colOff>
      <xdr:row>2</xdr:row>
      <xdr:rowOff>180975</xdr:rowOff>
    </xdr:to>
    <xdr:sp macro="" textlink="">
      <xdr:nvSpPr>
        <xdr:cNvPr id="6" name="TextBox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10287000" y="180975"/>
          <a:ext cx="1428750" cy="381000"/>
        </a:xfrm>
        <a:prstGeom prst="rect">
          <a:avLst/>
        </a:prstGeom>
        <a:noFill/>
        <a:ln w="9525" cmpd="sng">
          <a:solidFill>
            <a:srgbClr val="6F8F8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100" b="1" i="0">
              <a:solidFill>
                <a:srgbClr val="DDE8E3"/>
              </a:solidFill>
              <a:latin typeface="Segoe UI"/>
              <a:cs typeface="Segoe UI"/>
            </a:rPr>
            <a:t>Nepal</a:t>
          </a:r>
        </a:p>
      </xdr:txBody>
    </xdr:sp>
    <xdr:clientData/>
  </xdr:twoCellAnchor>
  <xdr:twoCellAnchor editAs="absolute">
    <xdr:from>
      <xdr:col>19</xdr:col>
      <xdr:colOff>228600</xdr:colOff>
      <xdr:row>0</xdr:row>
      <xdr:rowOff>180975</xdr:rowOff>
    </xdr:from>
    <xdr:to>
      <xdr:col>21</xdr:col>
      <xdr:colOff>438150</xdr:colOff>
      <xdr:row>2</xdr:row>
      <xdr:rowOff>180975</xdr:rowOff>
    </xdr:to>
    <xdr:sp macro="" textlink="">
      <xdr:nvSpPr>
        <xdr:cNvPr id="7" name="TextBox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11811000" y="180975"/>
          <a:ext cx="1428750" cy="381000"/>
        </a:xfrm>
        <a:prstGeom prst="rect">
          <a:avLst/>
        </a:prstGeom>
        <a:noFill/>
        <a:ln w="9525" cmpd="sng">
          <a:solidFill>
            <a:srgbClr val="6F8F8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100" b="1" i="0">
              <a:solidFill>
                <a:srgbClr val="DDE8E3"/>
              </a:solidFill>
              <a:latin typeface="Segoe UI"/>
              <a:cs typeface="Segoe UI"/>
            </a:rPr>
            <a:t>Strategy</a:t>
          </a:r>
        </a:p>
      </xdr:txBody>
    </xdr:sp>
    <xdr:clientData/>
  </xdr:twoCellAnchor>
  <xdr:twoCellAnchor editAs="absolute">
    <xdr:from>
      <xdr:col>21</xdr:col>
      <xdr:colOff>533400</xdr:colOff>
      <xdr:row>0</xdr:row>
      <xdr:rowOff>180975</xdr:rowOff>
    </xdr:from>
    <xdr:to>
      <xdr:col>24</xdr:col>
      <xdr:colOff>133350</xdr:colOff>
      <xdr:row>2</xdr:row>
      <xdr:rowOff>180975</xdr:rowOff>
    </xdr:to>
    <xdr:sp macro="" textlink="">
      <xdr:nvSpPr>
        <xdr:cNvPr id="8" name="TextBox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/>
      </xdr:nvSpPr>
      <xdr:spPr>
        <a:xfrm>
          <a:off x="13335000" y="180975"/>
          <a:ext cx="1428750" cy="381000"/>
        </a:xfrm>
        <a:prstGeom prst="rect">
          <a:avLst/>
        </a:prstGeom>
        <a:solidFill>
          <a:srgbClr val="CBA258"/>
        </a:solidFill>
        <a:ln w="9525" cmpd="sng">
          <a:solidFill>
            <a:srgbClr val="CBA258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100" b="1" i="0">
              <a:solidFill>
                <a:srgbClr val="1E3932"/>
              </a:solidFill>
              <a:latin typeface="Segoe UI"/>
              <a:cs typeface="Segoe UI"/>
            </a:rPr>
            <a:t>Sources</a:t>
          </a:r>
        </a:p>
      </xdr:txBody>
    </xdr:sp>
    <xdr:clientData/>
  </xdr:twoCellAnchor>
  <xdr:twoCellAnchor editAs="absolute">
    <xdr:from>
      <xdr:col>0</xdr:col>
      <xdr:colOff>342900</xdr:colOff>
      <xdr:row>4</xdr:row>
      <xdr:rowOff>152400</xdr:rowOff>
    </xdr:from>
    <xdr:to>
      <xdr:col>13</xdr:col>
      <xdr:colOff>38100</xdr:colOff>
      <xdr:row>6</xdr:row>
      <xdr:rowOff>152400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/>
      </xdr:nvSpPr>
      <xdr:spPr>
        <a:xfrm>
          <a:off x="342900" y="914400"/>
          <a:ext cx="762000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2600" b="1" i="0">
              <a:solidFill>
                <a:srgbClr val="1E3932"/>
              </a:solidFill>
              <a:latin typeface="Segoe UI"/>
              <a:cs typeface="Segoe UI"/>
            </a:rPr>
            <a:t>Sources</a:t>
          </a:r>
        </a:p>
      </xdr:txBody>
    </xdr:sp>
    <xdr:clientData/>
  </xdr:twoCellAnchor>
  <xdr:twoCellAnchor editAs="absolute">
    <xdr:from>
      <xdr:col>0</xdr:col>
      <xdr:colOff>342900</xdr:colOff>
      <xdr:row>6</xdr:row>
      <xdr:rowOff>171450</xdr:rowOff>
    </xdr:from>
    <xdr:to>
      <xdr:col>24</xdr:col>
      <xdr:colOff>0</xdr:colOff>
      <xdr:row>8</xdr:row>
      <xdr:rowOff>57150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 txBox="1"/>
      </xdr:nvSpPr>
      <xdr:spPr>
        <a:xfrm>
          <a:off x="342900" y="1314450"/>
          <a:ext cx="142875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 b="0" i="0">
              <a:solidFill>
                <a:srgbClr val="6B7A74"/>
              </a:solidFill>
              <a:latin typeface="Segoe UI"/>
              <a:cs typeface="Segoe UI"/>
            </a:rPr>
            <a:t>Citation audit and disclosed verification exceptions</a:t>
          </a:r>
        </a:p>
      </xdr:txBody>
    </xdr:sp>
    <xdr:clientData/>
  </xdr:twoCellAnchor>
  <xdr:twoCellAnchor editAs="absolute">
    <xdr:from>
      <xdr:col>0</xdr:col>
      <xdr:colOff>342900</xdr:colOff>
      <xdr:row>9</xdr:row>
      <xdr:rowOff>0</xdr:rowOff>
    </xdr:from>
    <xdr:to>
      <xdr:col>24</xdr:col>
      <xdr:colOff>266700</xdr:colOff>
      <xdr:row>35</xdr:row>
      <xdr:rowOff>152400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 txBox="1"/>
      </xdr:nvSpPr>
      <xdr:spPr>
        <a:xfrm>
          <a:off x="342900" y="1714500"/>
          <a:ext cx="14554200" cy="5105400"/>
        </a:xfrm>
        <a:prstGeom prst="rect">
          <a:avLst/>
        </a:prstGeom>
        <a:solidFill>
          <a:srgbClr val="FFFFFF"/>
        </a:solidFill>
        <a:ln w="9525" cmpd="sng">
          <a:solidFill>
            <a:srgbClr val="E3DED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0</xdr:col>
      <xdr:colOff>514350</xdr:colOff>
      <xdr:row>9</xdr:row>
      <xdr:rowOff>114300</xdr:rowOff>
    </xdr:from>
    <xdr:to>
      <xdr:col>24</xdr:col>
      <xdr:colOff>95250</xdr:colOff>
      <xdr:row>10</xdr:row>
      <xdr:rowOff>171450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 txBox="1"/>
      </xdr:nvSpPr>
      <xdr:spPr>
        <a:xfrm>
          <a:off x="514350" y="1828800"/>
          <a:ext cx="142113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 i="0">
              <a:solidFill>
                <a:srgbClr val="1E3932"/>
              </a:solidFill>
              <a:latin typeface="Segoe UI"/>
              <a:cs typeface="Segoe UI"/>
            </a:rPr>
            <a:t>Citation audit</a:t>
          </a:r>
        </a:p>
      </xdr:txBody>
    </xdr:sp>
    <xdr:clientData/>
  </xdr:twoCellAnchor>
  <xdr:twoCellAnchor editAs="absolute">
    <xdr:from>
      <xdr:col>0</xdr:col>
      <xdr:colOff>514350</xdr:colOff>
      <xdr:row>10</xdr:row>
      <xdr:rowOff>171450</xdr:rowOff>
    </xdr:from>
    <xdr:to>
      <xdr:col>24</xdr:col>
      <xdr:colOff>95250</xdr:colOff>
      <xdr:row>11</xdr:row>
      <xdr:rowOff>171450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 txBox="1"/>
      </xdr:nvSpPr>
      <xdr:spPr>
        <a:xfrm>
          <a:off x="514350" y="2076450"/>
          <a:ext cx="142113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0" i="0">
              <a:solidFill>
                <a:srgbClr val="6B7A74"/>
              </a:solidFill>
              <a:latin typeface="Segoe UI"/>
              <a:cs typeface="Segoe UI"/>
            </a:rPr>
            <a:t>15 in-text citations · 14 verified directly · 1 verified via secondary source</a:t>
          </a:r>
        </a:p>
      </xdr:txBody>
    </xdr:sp>
    <xdr:clientData/>
  </xdr:twoCellAnchor>
  <xdr:twoCellAnchor editAs="absolute">
    <xdr:from>
      <xdr:col>0</xdr:col>
      <xdr:colOff>495300</xdr:colOff>
      <xdr:row>12</xdr:row>
      <xdr:rowOff>38100</xdr:rowOff>
    </xdr:from>
    <xdr:to>
      <xdr:col>4</xdr:col>
      <xdr:colOff>409575</xdr:colOff>
      <xdr:row>13</xdr:row>
      <xdr:rowOff>85725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 txBox="1"/>
      </xdr:nvSpPr>
      <xdr:spPr>
        <a:xfrm>
          <a:off x="495300" y="2324100"/>
          <a:ext cx="235267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1" i="0">
              <a:solidFill>
                <a:srgbClr val="6B7A74"/>
              </a:solidFill>
              <a:latin typeface="Segoe UI"/>
              <a:cs typeface="Segoe UI"/>
            </a:rPr>
            <a:t>In-text citation</a:t>
          </a:r>
        </a:p>
      </xdr:txBody>
    </xdr:sp>
    <xdr:clientData/>
  </xdr:twoCellAnchor>
  <xdr:twoCellAnchor editAs="absolute">
    <xdr:from>
      <xdr:col>4</xdr:col>
      <xdr:colOff>438150</xdr:colOff>
      <xdr:row>12</xdr:row>
      <xdr:rowOff>38100</xdr:rowOff>
    </xdr:from>
    <xdr:to>
      <xdr:col>14</xdr:col>
      <xdr:colOff>28575</xdr:colOff>
      <xdr:row>13</xdr:row>
      <xdr:rowOff>85725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 txBox="1"/>
      </xdr:nvSpPr>
      <xdr:spPr>
        <a:xfrm>
          <a:off x="2876550" y="2324100"/>
          <a:ext cx="56864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1" i="0">
              <a:solidFill>
                <a:srgbClr val="6B7A74"/>
              </a:solidFill>
              <a:latin typeface="Segoe UI"/>
              <a:cs typeface="Segoe UI"/>
            </a:rPr>
            <a:t>Reference list entry</a:t>
          </a:r>
        </a:p>
      </xdr:txBody>
    </xdr:sp>
    <xdr:clientData/>
  </xdr:twoCellAnchor>
  <xdr:twoCellAnchor editAs="absolute">
    <xdr:from>
      <xdr:col>14</xdr:col>
      <xdr:colOff>57150</xdr:colOff>
      <xdr:row>12</xdr:row>
      <xdr:rowOff>38100</xdr:rowOff>
    </xdr:from>
    <xdr:to>
      <xdr:col>16</xdr:col>
      <xdr:colOff>142875</xdr:colOff>
      <xdr:row>13</xdr:row>
      <xdr:rowOff>85725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 txBox="1"/>
      </xdr:nvSpPr>
      <xdr:spPr>
        <a:xfrm>
          <a:off x="8591550" y="2324100"/>
          <a:ext cx="13049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6B7A74"/>
              </a:solidFill>
              <a:latin typeface="Segoe UI"/>
              <a:cs typeface="Segoe UI"/>
            </a:rPr>
            <a:t>Source type</a:t>
          </a:r>
        </a:p>
      </xdr:txBody>
    </xdr:sp>
    <xdr:clientData/>
  </xdr:twoCellAnchor>
  <xdr:twoCellAnchor editAs="absolute">
    <xdr:from>
      <xdr:col>16</xdr:col>
      <xdr:colOff>171450</xdr:colOff>
      <xdr:row>12</xdr:row>
      <xdr:rowOff>38100</xdr:rowOff>
    </xdr:from>
    <xdr:to>
      <xdr:col>17</xdr:col>
      <xdr:colOff>390525</xdr:colOff>
      <xdr:row>13</xdr:row>
      <xdr:rowOff>85725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 txBox="1"/>
      </xdr:nvSpPr>
      <xdr:spPr>
        <a:xfrm>
          <a:off x="9925050" y="2324100"/>
          <a:ext cx="82867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6B7A74"/>
              </a:solidFill>
              <a:latin typeface="Segoe UI"/>
              <a:cs typeface="Segoe UI"/>
            </a:rPr>
            <a:t>Verified</a:t>
          </a:r>
        </a:p>
      </xdr:txBody>
    </xdr:sp>
    <xdr:clientData/>
  </xdr:twoCellAnchor>
  <xdr:twoCellAnchor editAs="absolute">
    <xdr:from>
      <xdr:col>17</xdr:col>
      <xdr:colOff>419100</xdr:colOff>
      <xdr:row>12</xdr:row>
      <xdr:rowOff>38100</xdr:rowOff>
    </xdr:from>
    <xdr:to>
      <xdr:col>24</xdr:col>
      <xdr:colOff>123825</xdr:colOff>
      <xdr:row>13</xdr:row>
      <xdr:rowOff>85725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 txBox="1"/>
      </xdr:nvSpPr>
      <xdr:spPr>
        <a:xfrm>
          <a:off x="10782300" y="2324100"/>
          <a:ext cx="39719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1" i="0">
              <a:solidFill>
                <a:srgbClr val="6B7A74"/>
              </a:solidFill>
              <a:latin typeface="Segoe UI"/>
              <a:cs typeface="Segoe UI"/>
            </a:rPr>
            <a:t>Notes</a:t>
          </a:r>
        </a:p>
      </xdr:txBody>
    </xdr:sp>
    <xdr:clientData/>
  </xdr:twoCellAnchor>
  <xdr:twoCellAnchor editAs="absolute">
    <xdr:from>
      <xdr:col>0</xdr:col>
      <xdr:colOff>495300</xdr:colOff>
      <xdr:row>13</xdr:row>
      <xdr:rowOff>114300</xdr:rowOff>
    </xdr:from>
    <xdr:to>
      <xdr:col>4</xdr:col>
      <xdr:colOff>409575</xdr:colOff>
      <xdr:row>14</xdr:row>
      <xdr:rowOff>161925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 txBox="1"/>
      </xdr:nvSpPr>
      <xdr:spPr>
        <a:xfrm>
          <a:off x="495300" y="2590800"/>
          <a:ext cx="235267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1" i="0">
              <a:solidFill>
                <a:srgbClr val="1E2A26"/>
              </a:solidFill>
              <a:latin typeface="Segoe UI"/>
              <a:cs typeface="Segoe UI"/>
            </a:rPr>
            <a:t>Barney (1991)</a:t>
          </a:r>
        </a:p>
      </xdr:txBody>
    </xdr:sp>
    <xdr:clientData/>
  </xdr:twoCellAnchor>
  <xdr:twoCellAnchor editAs="absolute">
    <xdr:from>
      <xdr:col>4</xdr:col>
      <xdr:colOff>438150</xdr:colOff>
      <xdr:row>13</xdr:row>
      <xdr:rowOff>114300</xdr:rowOff>
    </xdr:from>
    <xdr:to>
      <xdr:col>14</xdr:col>
      <xdr:colOff>28575</xdr:colOff>
      <xdr:row>14</xdr:row>
      <xdr:rowOff>161925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 txBox="1"/>
      </xdr:nvSpPr>
      <xdr:spPr>
        <a:xfrm>
          <a:off x="2876550" y="2590800"/>
          <a:ext cx="56864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0" i="0">
              <a:solidFill>
                <a:srgbClr val="1E2A26"/>
              </a:solidFill>
              <a:latin typeface="Segoe UI"/>
              <a:cs typeface="Segoe UI"/>
            </a:rPr>
            <a:t>Barney, J. (1991) 'Firm resources and sustained competitive advantage', Journal of Management, 17(1), pp. 99–120.</a:t>
          </a:r>
        </a:p>
      </xdr:txBody>
    </xdr:sp>
    <xdr:clientData/>
  </xdr:twoCellAnchor>
  <xdr:twoCellAnchor editAs="absolute">
    <xdr:from>
      <xdr:col>14</xdr:col>
      <xdr:colOff>57150</xdr:colOff>
      <xdr:row>13</xdr:row>
      <xdr:rowOff>114300</xdr:rowOff>
    </xdr:from>
    <xdr:to>
      <xdr:col>16</xdr:col>
      <xdr:colOff>142875</xdr:colOff>
      <xdr:row>14</xdr:row>
      <xdr:rowOff>161925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 txBox="1"/>
      </xdr:nvSpPr>
      <xdr:spPr>
        <a:xfrm>
          <a:off x="8591550" y="2590800"/>
          <a:ext cx="13049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800" b="0" i="0">
              <a:solidFill>
                <a:srgbClr val="1E2A26"/>
              </a:solidFill>
              <a:latin typeface="Segoe UI"/>
              <a:cs typeface="Segoe UI"/>
            </a:rPr>
            <a:t>Peer-reviewed</a:t>
          </a:r>
        </a:p>
      </xdr:txBody>
    </xdr:sp>
    <xdr:clientData/>
  </xdr:twoCellAnchor>
  <xdr:twoCellAnchor editAs="absolute">
    <xdr:from>
      <xdr:col>16</xdr:col>
      <xdr:colOff>171450</xdr:colOff>
      <xdr:row>13</xdr:row>
      <xdr:rowOff>114300</xdr:rowOff>
    </xdr:from>
    <xdr:to>
      <xdr:col>17</xdr:col>
      <xdr:colOff>390525</xdr:colOff>
      <xdr:row>14</xdr:row>
      <xdr:rowOff>161925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 txBox="1"/>
      </xdr:nvSpPr>
      <xdr:spPr>
        <a:xfrm>
          <a:off x="9925050" y="2590800"/>
          <a:ext cx="828675" cy="23812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800" b="1" i="0">
              <a:solidFill>
                <a:srgbClr val="0B5A3C"/>
              </a:solidFill>
              <a:latin typeface="Segoe UI"/>
              <a:cs typeface="Segoe UI"/>
            </a:rPr>
            <a:t>Yes</a:t>
          </a:r>
        </a:p>
      </xdr:txBody>
    </xdr:sp>
    <xdr:clientData/>
  </xdr:twoCellAnchor>
  <xdr:twoCellAnchor editAs="absolute">
    <xdr:from>
      <xdr:col>17</xdr:col>
      <xdr:colOff>419100</xdr:colOff>
      <xdr:row>13</xdr:row>
      <xdr:rowOff>114300</xdr:rowOff>
    </xdr:from>
    <xdr:to>
      <xdr:col>24</xdr:col>
      <xdr:colOff>123825</xdr:colOff>
      <xdr:row>14</xdr:row>
      <xdr:rowOff>161925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 txBox="1"/>
      </xdr:nvSpPr>
      <xdr:spPr>
        <a:xfrm>
          <a:off x="10782300" y="2590800"/>
          <a:ext cx="39719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0" i="0">
              <a:solidFill>
                <a:srgbClr val="1E2A26"/>
              </a:solidFill>
              <a:latin typeface="Segoe UI"/>
              <a:cs typeface="Segoe UI"/>
            </a:rPr>
            <a:t>Primary RBV source</a:t>
          </a:r>
        </a:p>
      </xdr:txBody>
    </xdr:sp>
    <xdr:clientData/>
  </xdr:twoCellAnchor>
  <xdr:twoCellAnchor editAs="absolute">
    <xdr:from>
      <xdr:col>0</xdr:col>
      <xdr:colOff>495300</xdr:colOff>
      <xdr:row>15</xdr:row>
      <xdr:rowOff>0</xdr:rowOff>
    </xdr:from>
    <xdr:to>
      <xdr:col>4</xdr:col>
      <xdr:colOff>409575</xdr:colOff>
      <xdr:row>16</xdr:row>
      <xdr:rowOff>47625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 txBox="1"/>
      </xdr:nvSpPr>
      <xdr:spPr>
        <a:xfrm>
          <a:off x="495300" y="2857500"/>
          <a:ext cx="235267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1" i="0">
              <a:solidFill>
                <a:srgbClr val="1E2A26"/>
              </a:solidFill>
              <a:latin typeface="Segoe UI"/>
              <a:cs typeface="Segoe UI"/>
            </a:rPr>
            <a:t>Culture Factor Group (2026)</a:t>
          </a:r>
        </a:p>
      </xdr:txBody>
    </xdr:sp>
    <xdr:clientData/>
  </xdr:twoCellAnchor>
  <xdr:twoCellAnchor editAs="absolute">
    <xdr:from>
      <xdr:col>4</xdr:col>
      <xdr:colOff>438150</xdr:colOff>
      <xdr:row>15</xdr:row>
      <xdr:rowOff>0</xdr:rowOff>
    </xdr:from>
    <xdr:to>
      <xdr:col>14</xdr:col>
      <xdr:colOff>28575</xdr:colOff>
      <xdr:row>16</xdr:row>
      <xdr:rowOff>47625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 txBox="1"/>
      </xdr:nvSpPr>
      <xdr:spPr>
        <a:xfrm>
          <a:off x="2876550" y="2857500"/>
          <a:ext cx="56864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0" i="0">
              <a:solidFill>
                <a:srgbClr val="1E2A26"/>
              </a:solidFill>
              <a:latin typeface="Segoe UI"/>
              <a:cs typeface="Segoe UI"/>
            </a:rPr>
            <a:t>Culture Factor Group (2026) Country comparison tool: Nepal and United States.</a:t>
          </a:r>
        </a:p>
      </xdr:txBody>
    </xdr:sp>
    <xdr:clientData/>
  </xdr:twoCellAnchor>
  <xdr:twoCellAnchor editAs="absolute">
    <xdr:from>
      <xdr:col>14</xdr:col>
      <xdr:colOff>57150</xdr:colOff>
      <xdr:row>15</xdr:row>
      <xdr:rowOff>0</xdr:rowOff>
    </xdr:from>
    <xdr:to>
      <xdr:col>16</xdr:col>
      <xdr:colOff>142875</xdr:colOff>
      <xdr:row>16</xdr:row>
      <xdr:rowOff>47625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 txBox="1"/>
      </xdr:nvSpPr>
      <xdr:spPr>
        <a:xfrm>
          <a:off x="8591550" y="2857500"/>
          <a:ext cx="13049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800" b="0" i="0">
              <a:solidFill>
                <a:srgbClr val="1E2A26"/>
              </a:solidFill>
              <a:latin typeface="Segoe UI"/>
              <a:cs typeface="Segoe UI"/>
            </a:rPr>
            <a:t>Secondary database</a:t>
          </a:r>
        </a:p>
      </xdr:txBody>
    </xdr:sp>
    <xdr:clientData/>
  </xdr:twoCellAnchor>
  <xdr:twoCellAnchor editAs="absolute">
    <xdr:from>
      <xdr:col>16</xdr:col>
      <xdr:colOff>171450</xdr:colOff>
      <xdr:row>15</xdr:row>
      <xdr:rowOff>0</xdr:rowOff>
    </xdr:from>
    <xdr:to>
      <xdr:col>17</xdr:col>
      <xdr:colOff>390525</xdr:colOff>
      <xdr:row>16</xdr:row>
      <xdr:rowOff>47625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 txBox="1"/>
      </xdr:nvSpPr>
      <xdr:spPr>
        <a:xfrm>
          <a:off x="9925050" y="2857500"/>
          <a:ext cx="828675" cy="23812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800" b="1" i="0">
              <a:solidFill>
                <a:srgbClr val="0B5A3C"/>
              </a:solidFill>
              <a:latin typeface="Segoe UI"/>
              <a:cs typeface="Segoe UI"/>
            </a:rPr>
            <a:t>Yes</a:t>
          </a:r>
        </a:p>
      </xdr:txBody>
    </xdr:sp>
    <xdr:clientData/>
  </xdr:twoCellAnchor>
  <xdr:twoCellAnchor editAs="absolute">
    <xdr:from>
      <xdr:col>17</xdr:col>
      <xdr:colOff>419100</xdr:colOff>
      <xdr:row>15</xdr:row>
      <xdr:rowOff>0</xdr:rowOff>
    </xdr:from>
    <xdr:to>
      <xdr:col>24</xdr:col>
      <xdr:colOff>123825</xdr:colOff>
      <xdr:row>16</xdr:row>
      <xdr:rowOff>47625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 txBox="1"/>
      </xdr:nvSpPr>
      <xdr:spPr>
        <a:xfrm>
          <a:off x="10782300" y="2857500"/>
          <a:ext cx="39719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0" i="0">
              <a:solidFill>
                <a:srgbClr val="1E2A26"/>
              </a:solidFill>
              <a:latin typeface="Segoe UI"/>
              <a:cs typeface="Segoe UI"/>
            </a:rPr>
            <a:t>Hofstede scores verified live</a:t>
          </a:r>
        </a:p>
      </xdr:txBody>
    </xdr:sp>
    <xdr:clientData/>
  </xdr:twoCellAnchor>
  <xdr:twoCellAnchor editAs="absolute">
    <xdr:from>
      <xdr:col>0</xdr:col>
      <xdr:colOff>495300</xdr:colOff>
      <xdr:row>16</xdr:row>
      <xdr:rowOff>76200</xdr:rowOff>
    </xdr:from>
    <xdr:to>
      <xdr:col>4</xdr:col>
      <xdr:colOff>409575</xdr:colOff>
      <xdr:row>17</xdr:row>
      <xdr:rowOff>123825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 txBox="1"/>
      </xdr:nvSpPr>
      <xdr:spPr>
        <a:xfrm>
          <a:off x="495300" y="3124200"/>
          <a:ext cx="235267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1" i="0">
              <a:solidFill>
                <a:srgbClr val="1E2A26"/>
              </a:solidFill>
              <a:latin typeface="Segoe UI"/>
              <a:cs typeface="Segoe UI"/>
            </a:rPr>
            <a:t>Department of Industries (2026)</a:t>
          </a:r>
        </a:p>
      </xdr:txBody>
    </xdr:sp>
    <xdr:clientData/>
  </xdr:twoCellAnchor>
  <xdr:twoCellAnchor editAs="absolute">
    <xdr:from>
      <xdr:col>4</xdr:col>
      <xdr:colOff>438150</xdr:colOff>
      <xdr:row>16</xdr:row>
      <xdr:rowOff>76200</xdr:rowOff>
    </xdr:from>
    <xdr:to>
      <xdr:col>14</xdr:col>
      <xdr:colOff>28575</xdr:colOff>
      <xdr:row>17</xdr:row>
      <xdr:rowOff>123825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 txBox="1"/>
      </xdr:nvSpPr>
      <xdr:spPr>
        <a:xfrm>
          <a:off x="2876550" y="3124200"/>
          <a:ext cx="56864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0" i="0">
              <a:solidFill>
                <a:srgbClr val="1E2A26"/>
              </a:solidFill>
              <a:latin typeface="Segoe UI"/>
              <a:cs typeface="Segoe UI"/>
            </a:rPr>
            <a:t>Department of Industries (2026) Foreign investment. Government of Nepal.</a:t>
          </a:r>
        </a:p>
      </xdr:txBody>
    </xdr:sp>
    <xdr:clientData/>
  </xdr:twoCellAnchor>
  <xdr:twoCellAnchor editAs="absolute">
    <xdr:from>
      <xdr:col>14</xdr:col>
      <xdr:colOff>57150</xdr:colOff>
      <xdr:row>16</xdr:row>
      <xdr:rowOff>76200</xdr:rowOff>
    </xdr:from>
    <xdr:to>
      <xdr:col>16</xdr:col>
      <xdr:colOff>142875</xdr:colOff>
      <xdr:row>17</xdr:row>
      <xdr:rowOff>123825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 txBox="1"/>
      </xdr:nvSpPr>
      <xdr:spPr>
        <a:xfrm>
          <a:off x="8591550" y="3124200"/>
          <a:ext cx="13049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800" b="0" i="0">
              <a:solidFill>
                <a:srgbClr val="1E2A26"/>
              </a:solidFill>
              <a:latin typeface="Segoe UI"/>
              <a:cs typeface="Segoe UI"/>
            </a:rPr>
            <a:t>Government</a:t>
          </a:r>
        </a:p>
      </xdr:txBody>
    </xdr:sp>
    <xdr:clientData/>
  </xdr:twoCellAnchor>
  <xdr:twoCellAnchor editAs="absolute">
    <xdr:from>
      <xdr:col>16</xdr:col>
      <xdr:colOff>171450</xdr:colOff>
      <xdr:row>16</xdr:row>
      <xdr:rowOff>76200</xdr:rowOff>
    </xdr:from>
    <xdr:to>
      <xdr:col>17</xdr:col>
      <xdr:colOff>390525</xdr:colOff>
      <xdr:row>17</xdr:row>
      <xdr:rowOff>123825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 txBox="1"/>
      </xdr:nvSpPr>
      <xdr:spPr>
        <a:xfrm>
          <a:off x="9925050" y="3124200"/>
          <a:ext cx="828675" cy="23812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800" b="1" i="0">
              <a:solidFill>
                <a:srgbClr val="0B5A3C"/>
              </a:solidFill>
              <a:latin typeface="Segoe UI"/>
              <a:cs typeface="Segoe UI"/>
            </a:rPr>
            <a:t>Yes</a:t>
          </a:r>
        </a:p>
      </xdr:txBody>
    </xdr:sp>
    <xdr:clientData/>
  </xdr:twoCellAnchor>
  <xdr:twoCellAnchor editAs="absolute">
    <xdr:from>
      <xdr:col>17</xdr:col>
      <xdr:colOff>419100</xdr:colOff>
      <xdr:row>16</xdr:row>
      <xdr:rowOff>76200</xdr:rowOff>
    </xdr:from>
    <xdr:to>
      <xdr:col>24</xdr:col>
      <xdr:colOff>123825</xdr:colOff>
      <xdr:row>17</xdr:row>
      <xdr:rowOff>123825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 txBox="1"/>
      </xdr:nvSpPr>
      <xdr:spPr>
        <a:xfrm>
          <a:off x="10782300" y="3124200"/>
          <a:ext cx="39719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0" i="0">
              <a:solidFill>
                <a:srgbClr val="1E2A26"/>
              </a:solidFill>
              <a:latin typeface="Segoe UI"/>
              <a:cs typeface="Segoe UI"/>
            </a:rPr>
            <a:t>Primary regulatory source</a:t>
          </a:r>
        </a:p>
      </xdr:txBody>
    </xdr:sp>
    <xdr:clientData/>
  </xdr:twoCellAnchor>
  <xdr:twoCellAnchor editAs="absolute">
    <xdr:from>
      <xdr:col>0</xdr:col>
      <xdr:colOff>495300</xdr:colOff>
      <xdr:row>17</xdr:row>
      <xdr:rowOff>152400</xdr:rowOff>
    </xdr:from>
    <xdr:to>
      <xdr:col>4</xdr:col>
      <xdr:colOff>409575</xdr:colOff>
      <xdr:row>19</xdr:row>
      <xdr:rowOff>9525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 txBox="1"/>
      </xdr:nvSpPr>
      <xdr:spPr>
        <a:xfrm>
          <a:off x="495300" y="3390900"/>
          <a:ext cx="235267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1" i="0">
              <a:solidFill>
                <a:srgbClr val="1E2A26"/>
              </a:solidFill>
              <a:latin typeface="Segoe UI"/>
              <a:cs typeface="Segoe UI"/>
            </a:rPr>
            <a:t>DiMaggio and Powell (1983)</a:t>
          </a:r>
        </a:p>
      </xdr:txBody>
    </xdr:sp>
    <xdr:clientData/>
  </xdr:twoCellAnchor>
  <xdr:twoCellAnchor editAs="absolute">
    <xdr:from>
      <xdr:col>4</xdr:col>
      <xdr:colOff>438150</xdr:colOff>
      <xdr:row>17</xdr:row>
      <xdr:rowOff>152400</xdr:rowOff>
    </xdr:from>
    <xdr:to>
      <xdr:col>14</xdr:col>
      <xdr:colOff>28575</xdr:colOff>
      <xdr:row>19</xdr:row>
      <xdr:rowOff>9525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 txBox="1"/>
      </xdr:nvSpPr>
      <xdr:spPr>
        <a:xfrm>
          <a:off x="2876550" y="3390900"/>
          <a:ext cx="56864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0" i="0">
              <a:solidFill>
                <a:srgbClr val="1E2A26"/>
              </a:solidFill>
              <a:latin typeface="Segoe UI"/>
              <a:cs typeface="Segoe UI"/>
            </a:rPr>
            <a:t>DiMaggio, P.J. and Powell, W.W. (1983) 'The iron cage revisited', ASR, 48(2), pp. 147–160.</a:t>
          </a:r>
        </a:p>
      </xdr:txBody>
    </xdr:sp>
    <xdr:clientData/>
  </xdr:twoCellAnchor>
  <xdr:twoCellAnchor editAs="absolute">
    <xdr:from>
      <xdr:col>14</xdr:col>
      <xdr:colOff>57150</xdr:colOff>
      <xdr:row>17</xdr:row>
      <xdr:rowOff>152400</xdr:rowOff>
    </xdr:from>
    <xdr:to>
      <xdr:col>16</xdr:col>
      <xdr:colOff>142875</xdr:colOff>
      <xdr:row>19</xdr:row>
      <xdr:rowOff>9525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 txBox="1"/>
      </xdr:nvSpPr>
      <xdr:spPr>
        <a:xfrm>
          <a:off x="8591550" y="3390900"/>
          <a:ext cx="13049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800" b="0" i="0">
              <a:solidFill>
                <a:srgbClr val="1E2A26"/>
              </a:solidFill>
              <a:latin typeface="Segoe UI"/>
              <a:cs typeface="Segoe UI"/>
            </a:rPr>
            <a:t>Peer-reviewed</a:t>
          </a:r>
        </a:p>
      </xdr:txBody>
    </xdr:sp>
    <xdr:clientData/>
  </xdr:twoCellAnchor>
  <xdr:twoCellAnchor editAs="absolute">
    <xdr:from>
      <xdr:col>16</xdr:col>
      <xdr:colOff>171450</xdr:colOff>
      <xdr:row>17</xdr:row>
      <xdr:rowOff>152400</xdr:rowOff>
    </xdr:from>
    <xdr:to>
      <xdr:col>17</xdr:col>
      <xdr:colOff>390525</xdr:colOff>
      <xdr:row>19</xdr:row>
      <xdr:rowOff>9525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 txBox="1"/>
      </xdr:nvSpPr>
      <xdr:spPr>
        <a:xfrm>
          <a:off x="9925050" y="3390900"/>
          <a:ext cx="828675" cy="23812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800" b="1" i="0">
              <a:solidFill>
                <a:srgbClr val="0B5A3C"/>
              </a:solidFill>
              <a:latin typeface="Segoe UI"/>
              <a:cs typeface="Segoe UI"/>
            </a:rPr>
            <a:t>Yes</a:t>
          </a:r>
        </a:p>
      </xdr:txBody>
    </xdr:sp>
    <xdr:clientData/>
  </xdr:twoCellAnchor>
  <xdr:twoCellAnchor editAs="absolute">
    <xdr:from>
      <xdr:col>17</xdr:col>
      <xdr:colOff>419100</xdr:colOff>
      <xdr:row>17</xdr:row>
      <xdr:rowOff>152400</xdr:rowOff>
    </xdr:from>
    <xdr:to>
      <xdr:col>24</xdr:col>
      <xdr:colOff>123825</xdr:colOff>
      <xdr:row>19</xdr:row>
      <xdr:rowOff>9525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 txBox="1"/>
      </xdr:nvSpPr>
      <xdr:spPr>
        <a:xfrm>
          <a:off x="10782300" y="3390900"/>
          <a:ext cx="39719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0" i="0">
              <a:solidFill>
                <a:srgbClr val="1E2A26"/>
              </a:solidFill>
              <a:latin typeface="Segoe UI"/>
              <a:cs typeface="Segoe UI"/>
            </a:rPr>
            <a:t>Primary institutional theory source</a:t>
          </a:r>
        </a:p>
      </xdr:txBody>
    </xdr:sp>
    <xdr:clientData/>
  </xdr:twoCellAnchor>
  <xdr:twoCellAnchor editAs="absolute">
    <xdr:from>
      <xdr:col>0</xdr:col>
      <xdr:colOff>495300</xdr:colOff>
      <xdr:row>19</xdr:row>
      <xdr:rowOff>38100</xdr:rowOff>
    </xdr:from>
    <xdr:to>
      <xdr:col>4</xdr:col>
      <xdr:colOff>409575</xdr:colOff>
      <xdr:row>20</xdr:row>
      <xdr:rowOff>85725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 txBox="1"/>
      </xdr:nvSpPr>
      <xdr:spPr>
        <a:xfrm>
          <a:off x="495300" y="3657600"/>
          <a:ext cx="235267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1" i="0">
              <a:solidFill>
                <a:srgbClr val="1E2A26"/>
              </a:solidFill>
              <a:latin typeface="Segoe UI"/>
              <a:cs typeface="Segoe UI"/>
            </a:rPr>
            <a:t>Dunning (1988)</a:t>
          </a:r>
        </a:p>
      </xdr:txBody>
    </xdr:sp>
    <xdr:clientData/>
  </xdr:twoCellAnchor>
  <xdr:twoCellAnchor editAs="absolute">
    <xdr:from>
      <xdr:col>4</xdr:col>
      <xdr:colOff>438150</xdr:colOff>
      <xdr:row>19</xdr:row>
      <xdr:rowOff>38100</xdr:rowOff>
    </xdr:from>
    <xdr:to>
      <xdr:col>14</xdr:col>
      <xdr:colOff>28575</xdr:colOff>
      <xdr:row>20</xdr:row>
      <xdr:rowOff>85725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 txBox="1"/>
      </xdr:nvSpPr>
      <xdr:spPr>
        <a:xfrm>
          <a:off x="2876550" y="3657600"/>
          <a:ext cx="56864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0" i="0">
              <a:solidFill>
                <a:srgbClr val="1E2A26"/>
              </a:solidFill>
              <a:latin typeface="Segoe UI"/>
              <a:cs typeface="Segoe UI"/>
            </a:rPr>
            <a:t>Dunning, J.H. (1988) 'The eclectic paradigm of international production', JIBS, 19(1), pp. 1–31.</a:t>
          </a:r>
        </a:p>
      </xdr:txBody>
    </xdr:sp>
    <xdr:clientData/>
  </xdr:twoCellAnchor>
  <xdr:twoCellAnchor editAs="absolute">
    <xdr:from>
      <xdr:col>14</xdr:col>
      <xdr:colOff>57150</xdr:colOff>
      <xdr:row>19</xdr:row>
      <xdr:rowOff>38100</xdr:rowOff>
    </xdr:from>
    <xdr:to>
      <xdr:col>16</xdr:col>
      <xdr:colOff>142875</xdr:colOff>
      <xdr:row>20</xdr:row>
      <xdr:rowOff>85725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 txBox="1"/>
      </xdr:nvSpPr>
      <xdr:spPr>
        <a:xfrm>
          <a:off x="8591550" y="3657600"/>
          <a:ext cx="13049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800" b="0" i="0">
              <a:solidFill>
                <a:srgbClr val="1E2A26"/>
              </a:solidFill>
              <a:latin typeface="Segoe UI"/>
              <a:cs typeface="Segoe UI"/>
            </a:rPr>
            <a:t>Peer-reviewed</a:t>
          </a:r>
        </a:p>
      </xdr:txBody>
    </xdr:sp>
    <xdr:clientData/>
  </xdr:twoCellAnchor>
  <xdr:twoCellAnchor editAs="absolute">
    <xdr:from>
      <xdr:col>16</xdr:col>
      <xdr:colOff>171450</xdr:colOff>
      <xdr:row>19</xdr:row>
      <xdr:rowOff>38100</xdr:rowOff>
    </xdr:from>
    <xdr:to>
      <xdr:col>17</xdr:col>
      <xdr:colOff>390525</xdr:colOff>
      <xdr:row>20</xdr:row>
      <xdr:rowOff>85725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 txBox="1"/>
      </xdr:nvSpPr>
      <xdr:spPr>
        <a:xfrm>
          <a:off x="9925050" y="3657600"/>
          <a:ext cx="828675" cy="23812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800" b="1" i="0">
              <a:solidFill>
                <a:srgbClr val="0B5A3C"/>
              </a:solidFill>
              <a:latin typeface="Segoe UI"/>
              <a:cs typeface="Segoe UI"/>
            </a:rPr>
            <a:t>Yes</a:t>
          </a:r>
        </a:p>
      </xdr:txBody>
    </xdr:sp>
    <xdr:clientData/>
  </xdr:twoCellAnchor>
  <xdr:twoCellAnchor editAs="absolute">
    <xdr:from>
      <xdr:col>17</xdr:col>
      <xdr:colOff>419100</xdr:colOff>
      <xdr:row>19</xdr:row>
      <xdr:rowOff>38100</xdr:rowOff>
    </xdr:from>
    <xdr:to>
      <xdr:col>24</xdr:col>
      <xdr:colOff>123825</xdr:colOff>
      <xdr:row>20</xdr:row>
      <xdr:rowOff>85725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 txBox="1"/>
      </xdr:nvSpPr>
      <xdr:spPr>
        <a:xfrm>
          <a:off x="10782300" y="3657600"/>
          <a:ext cx="39719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0" i="0">
              <a:solidFill>
                <a:srgbClr val="1E2A26"/>
              </a:solidFill>
              <a:latin typeface="Segoe UI"/>
              <a:cs typeface="Segoe UI"/>
            </a:rPr>
            <a:t>Primary OLI source</a:t>
          </a:r>
        </a:p>
      </xdr:txBody>
    </xdr:sp>
    <xdr:clientData/>
  </xdr:twoCellAnchor>
  <xdr:twoCellAnchor editAs="absolute">
    <xdr:from>
      <xdr:col>0</xdr:col>
      <xdr:colOff>495300</xdr:colOff>
      <xdr:row>20</xdr:row>
      <xdr:rowOff>114300</xdr:rowOff>
    </xdr:from>
    <xdr:to>
      <xdr:col>4</xdr:col>
      <xdr:colOff>409575</xdr:colOff>
      <xdr:row>21</xdr:row>
      <xdr:rowOff>161925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 txBox="1"/>
      </xdr:nvSpPr>
      <xdr:spPr>
        <a:xfrm>
          <a:off x="495300" y="3924300"/>
          <a:ext cx="235267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1" i="0">
              <a:solidFill>
                <a:srgbClr val="1E2A26"/>
              </a:solidFill>
              <a:latin typeface="Segoe UI"/>
              <a:cs typeface="Segoe UI"/>
            </a:rPr>
            <a:t>Fischer and Roy (2017)</a:t>
          </a:r>
        </a:p>
      </xdr:txBody>
    </xdr:sp>
    <xdr:clientData/>
  </xdr:twoCellAnchor>
  <xdr:twoCellAnchor editAs="absolute">
    <xdr:from>
      <xdr:col>4</xdr:col>
      <xdr:colOff>438150</xdr:colOff>
      <xdr:row>20</xdr:row>
      <xdr:rowOff>114300</xdr:rowOff>
    </xdr:from>
    <xdr:to>
      <xdr:col>14</xdr:col>
      <xdr:colOff>28575</xdr:colOff>
      <xdr:row>21</xdr:row>
      <xdr:rowOff>161925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 txBox="1"/>
      </xdr:nvSpPr>
      <xdr:spPr>
        <a:xfrm>
          <a:off x="2876550" y="3924300"/>
          <a:ext cx="56864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0" i="0">
              <a:solidFill>
                <a:srgbClr val="1E2A26"/>
              </a:solidFill>
              <a:latin typeface="Segoe UI"/>
              <a:cs typeface="Segoe UI"/>
            </a:rPr>
            <a:t>Fischer, D. and Roy, K. (2017) 'Market entry in India: the curious case of Starbucks', Rutgers Business Review, 4(2), pp. 37–49.</a:t>
          </a:r>
        </a:p>
      </xdr:txBody>
    </xdr:sp>
    <xdr:clientData/>
  </xdr:twoCellAnchor>
  <xdr:twoCellAnchor editAs="absolute">
    <xdr:from>
      <xdr:col>14</xdr:col>
      <xdr:colOff>57150</xdr:colOff>
      <xdr:row>20</xdr:row>
      <xdr:rowOff>114300</xdr:rowOff>
    </xdr:from>
    <xdr:to>
      <xdr:col>16</xdr:col>
      <xdr:colOff>142875</xdr:colOff>
      <xdr:row>21</xdr:row>
      <xdr:rowOff>161925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 txBox="1"/>
      </xdr:nvSpPr>
      <xdr:spPr>
        <a:xfrm>
          <a:off x="8591550" y="3924300"/>
          <a:ext cx="13049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800" b="0" i="0">
              <a:solidFill>
                <a:srgbClr val="1E2A26"/>
              </a:solidFill>
              <a:latin typeface="Segoe UI"/>
              <a:cs typeface="Segoe UI"/>
            </a:rPr>
            <a:t>Peer-reviewed</a:t>
          </a:r>
        </a:p>
      </xdr:txBody>
    </xdr:sp>
    <xdr:clientData/>
  </xdr:twoCellAnchor>
  <xdr:twoCellAnchor editAs="absolute">
    <xdr:from>
      <xdr:col>16</xdr:col>
      <xdr:colOff>171450</xdr:colOff>
      <xdr:row>20</xdr:row>
      <xdr:rowOff>114300</xdr:rowOff>
    </xdr:from>
    <xdr:to>
      <xdr:col>17</xdr:col>
      <xdr:colOff>390525</xdr:colOff>
      <xdr:row>21</xdr:row>
      <xdr:rowOff>161925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SpPr txBox="1"/>
      </xdr:nvSpPr>
      <xdr:spPr>
        <a:xfrm>
          <a:off x="9925050" y="3924300"/>
          <a:ext cx="828675" cy="23812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800" b="1" i="0">
              <a:solidFill>
                <a:srgbClr val="0B5A3C"/>
              </a:solidFill>
              <a:latin typeface="Segoe UI"/>
              <a:cs typeface="Segoe UI"/>
            </a:rPr>
            <a:t>Yes</a:t>
          </a:r>
        </a:p>
      </xdr:txBody>
    </xdr:sp>
    <xdr:clientData/>
  </xdr:twoCellAnchor>
  <xdr:twoCellAnchor editAs="absolute">
    <xdr:from>
      <xdr:col>17</xdr:col>
      <xdr:colOff>419100</xdr:colOff>
      <xdr:row>20</xdr:row>
      <xdr:rowOff>114300</xdr:rowOff>
    </xdr:from>
    <xdr:to>
      <xdr:col>24</xdr:col>
      <xdr:colOff>123825</xdr:colOff>
      <xdr:row>21</xdr:row>
      <xdr:rowOff>161925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 txBox="1"/>
      </xdr:nvSpPr>
      <xdr:spPr>
        <a:xfrm>
          <a:off x="10782300" y="3924300"/>
          <a:ext cx="39719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0" i="0">
              <a:solidFill>
                <a:srgbClr val="1E2A26"/>
              </a:solidFill>
              <a:latin typeface="Segoe UI"/>
              <a:cs typeface="Segoe UI"/>
            </a:rPr>
            <a:t>India JV case study</a:t>
          </a:r>
        </a:p>
      </xdr:txBody>
    </xdr:sp>
    <xdr:clientData/>
  </xdr:twoCellAnchor>
  <xdr:twoCellAnchor editAs="absolute">
    <xdr:from>
      <xdr:col>0</xdr:col>
      <xdr:colOff>495300</xdr:colOff>
      <xdr:row>22</xdr:row>
      <xdr:rowOff>0</xdr:rowOff>
    </xdr:from>
    <xdr:to>
      <xdr:col>4</xdr:col>
      <xdr:colOff>409575</xdr:colOff>
      <xdr:row>23</xdr:row>
      <xdr:rowOff>47625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 txBox="1"/>
      </xdr:nvSpPr>
      <xdr:spPr>
        <a:xfrm>
          <a:off x="495300" y="4191000"/>
          <a:ext cx="235267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1" i="0">
              <a:solidFill>
                <a:srgbClr val="1E2A26"/>
              </a:solidFill>
              <a:latin typeface="Segoe UI"/>
              <a:cs typeface="Segoe UI"/>
            </a:rPr>
            <a:t>Hofstede (2001)</a:t>
          </a:r>
        </a:p>
      </xdr:txBody>
    </xdr:sp>
    <xdr:clientData/>
  </xdr:twoCellAnchor>
  <xdr:twoCellAnchor editAs="absolute">
    <xdr:from>
      <xdr:col>4</xdr:col>
      <xdr:colOff>438150</xdr:colOff>
      <xdr:row>22</xdr:row>
      <xdr:rowOff>0</xdr:rowOff>
    </xdr:from>
    <xdr:to>
      <xdr:col>14</xdr:col>
      <xdr:colOff>28575</xdr:colOff>
      <xdr:row>23</xdr:row>
      <xdr:rowOff>47625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 txBox="1"/>
      </xdr:nvSpPr>
      <xdr:spPr>
        <a:xfrm>
          <a:off x="2876550" y="4191000"/>
          <a:ext cx="56864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0" i="0">
              <a:solidFill>
                <a:srgbClr val="1E2A26"/>
              </a:solidFill>
              <a:latin typeface="Segoe UI"/>
              <a:cs typeface="Segoe UI"/>
            </a:rPr>
            <a:t>Hofstede, G. (2001) Culture's consequences, 2nd edn. Sage.</a:t>
          </a:r>
        </a:p>
      </xdr:txBody>
    </xdr:sp>
    <xdr:clientData/>
  </xdr:twoCellAnchor>
  <xdr:twoCellAnchor editAs="absolute">
    <xdr:from>
      <xdr:col>14</xdr:col>
      <xdr:colOff>57150</xdr:colOff>
      <xdr:row>22</xdr:row>
      <xdr:rowOff>0</xdr:rowOff>
    </xdr:from>
    <xdr:to>
      <xdr:col>16</xdr:col>
      <xdr:colOff>142875</xdr:colOff>
      <xdr:row>23</xdr:row>
      <xdr:rowOff>47625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SpPr txBox="1"/>
      </xdr:nvSpPr>
      <xdr:spPr>
        <a:xfrm>
          <a:off x="8591550" y="4191000"/>
          <a:ext cx="13049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800" b="0" i="0">
              <a:solidFill>
                <a:srgbClr val="1E2A26"/>
              </a:solidFill>
              <a:latin typeface="Segoe UI"/>
              <a:cs typeface="Segoe UI"/>
            </a:rPr>
            <a:t>Academic text</a:t>
          </a:r>
        </a:p>
      </xdr:txBody>
    </xdr:sp>
    <xdr:clientData/>
  </xdr:twoCellAnchor>
  <xdr:twoCellAnchor editAs="absolute">
    <xdr:from>
      <xdr:col>16</xdr:col>
      <xdr:colOff>171450</xdr:colOff>
      <xdr:row>22</xdr:row>
      <xdr:rowOff>0</xdr:rowOff>
    </xdr:from>
    <xdr:to>
      <xdr:col>17</xdr:col>
      <xdr:colOff>390525</xdr:colOff>
      <xdr:row>23</xdr:row>
      <xdr:rowOff>47625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SpPr txBox="1"/>
      </xdr:nvSpPr>
      <xdr:spPr>
        <a:xfrm>
          <a:off x="9925050" y="4191000"/>
          <a:ext cx="828675" cy="23812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800" b="1" i="0">
              <a:solidFill>
                <a:srgbClr val="0B5A3C"/>
              </a:solidFill>
              <a:latin typeface="Segoe UI"/>
              <a:cs typeface="Segoe UI"/>
            </a:rPr>
            <a:t>Yes</a:t>
          </a:r>
        </a:p>
      </xdr:txBody>
    </xdr:sp>
    <xdr:clientData/>
  </xdr:twoCellAnchor>
  <xdr:twoCellAnchor editAs="absolute">
    <xdr:from>
      <xdr:col>17</xdr:col>
      <xdr:colOff>419100</xdr:colOff>
      <xdr:row>22</xdr:row>
      <xdr:rowOff>0</xdr:rowOff>
    </xdr:from>
    <xdr:to>
      <xdr:col>24</xdr:col>
      <xdr:colOff>123825</xdr:colOff>
      <xdr:row>23</xdr:row>
      <xdr:rowOff>47625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SpPr txBox="1"/>
      </xdr:nvSpPr>
      <xdr:spPr>
        <a:xfrm>
          <a:off x="10782300" y="4191000"/>
          <a:ext cx="39719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0" i="0">
              <a:solidFill>
                <a:srgbClr val="1E2A26"/>
              </a:solidFill>
              <a:latin typeface="Segoe UI"/>
              <a:cs typeface="Segoe UI"/>
            </a:rPr>
            <a:t>Framework source</a:t>
          </a:r>
        </a:p>
      </xdr:txBody>
    </xdr:sp>
    <xdr:clientData/>
  </xdr:twoCellAnchor>
  <xdr:twoCellAnchor editAs="absolute">
    <xdr:from>
      <xdr:col>0</xdr:col>
      <xdr:colOff>495300</xdr:colOff>
      <xdr:row>23</xdr:row>
      <xdr:rowOff>76200</xdr:rowOff>
    </xdr:from>
    <xdr:to>
      <xdr:col>4</xdr:col>
      <xdr:colOff>409575</xdr:colOff>
      <xdr:row>24</xdr:row>
      <xdr:rowOff>123825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SpPr txBox="1"/>
      </xdr:nvSpPr>
      <xdr:spPr>
        <a:xfrm>
          <a:off x="495300" y="4457700"/>
          <a:ext cx="235267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1" i="0">
              <a:solidFill>
                <a:srgbClr val="1E2A26"/>
              </a:solidFill>
              <a:latin typeface="Segoe UI"/>
              <a:cs typeface="Segoe UI"/>
            </a:rPr>
            <a:t>Lamichhane and Malla (2025)</a:t>
          </a:r>
        </a:p>
      </xdr:txBody>
    </xdr:sp>
    <xdr:clientData/>
  </xdr:twoCellAnchor>
  <xdr:twoCellAnchor editAs="absolute">
    <xdr:from>
      <xdr:col>4</xdr:col>
      <xdr:colOff>438150</xdr:colOff>
      <xdr:row>23</xdr:row>
      <xdr:rowOff>76200</xdr:rowOff>
    </xdr:from>
    <xdr:to>
      <xdr:col>14</xdr:col>
      <xdr:colOff>28575</xdr:colOff>
      <xdr:row>24</xdr:row>
      <xdr:rowOff>123825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 txBox="1"/>
      </xdr:nvSpPr>
      <xdr:spPr>
        <a:xfrm>
          <a:off x="2876550" y="4457700"/>
          <a:ext cx="56864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0" i="0">
              <a:solidFill>
                <a:srgbClr val="1E2A26"/>
              </a:solidFill>
              <a:latin typeface="Segoe UI"/>
              <a:cs typeface="Segoe UI"/>
            </a:rPr>
            <a:t>Lamichhane, R. and Malla, B. (2025) 'Brewing change in Nepali coffee', The Kathmandu Post, 14 February.</a:t>
          </a:r>
        </a:p>
      </xdr:txBody>
    </xdr:sp>
    <xdr:clientData/>
  </xdr:twoCellAnchor>
  <xdr:twoCellAnchor editAs="absolute">
    <xdr:from>
      <xdr:col>14</xdr:col>
      <xdr:colOff>57150</xdr:colOff>
      <xdr:row>23</xdr:row>
      <xdr:rowOff>76200</xdr:rowOff>
    </xdr:from>
    <xdr:to>
      <xdr:col>16</xdr:col>
      <xdr:colOff>142875</xdr:colOff>
      <xdr:row>24</xdr:row>
      <xdr:rowOff>123825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 txBox="1"/>
      </xdr:nvSpPr>
      <xdr:spPr>
        <a:xfrm>
          <a:off x="8591550" y="4457700"/>
          <a:ext cx="13049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800" b="0" i="0">
              <a:solidFill>
                <a:srgbClr val="1E2A26"/>
              </a:solidFill>
              <a:latin typeface="Segoe UI"/>
              <a:cs typeface="Segoe UI"/>
            </a:rPr>
            <a:t>Newspaper</a:t>
          </a:r>
        </a:p>
      </xdr:txBody>
    </xdr:sp>
    <xdr:clientData/>
  </xdr:twoCellAnchor>
  <xdr:twoCellAnchor editAs="absolute">
    <xdr:from>
      <xdr:col>16</xdr:col>
      <xdr:colOff>171450</xdr:colOff>
      <xdr:row>23</xdr:row>
      <xdr:rowOff>76200</xdr:rowOff>
    </xdr:from>
    <xdr:to>
      <xdr:col>17</xdr:col>
      <xdr:colOff>390525</xdr:colOff>
      <xdr:row>24</xdr:row>
      <xdr:rowOff>123825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SpPr txBox="1"/>
      </xdr:nvSpPr>
      <xdr:spPr>
        <a:xfrm>
          <a:off x="9925050" y="4457700"/>
          <a:ext cx="828675" cy="23812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800" b="1" i="0">
              <a:solidFill>
                <a:srgbClr val="0B5A3C"/>
              </a:solidFill>
              <a:latin typeface="Segoe UI"/>
              <a:cs typeface="Segoe UI"/>
            </a:rPr>
            <a:t>Yes</a:t>
          </a:r>
        </a:p>
      </xdr:txBody>
    </xdr:sp>
    <xdr:clientData/>
  </xdr:twoCellAnchor>
  <xdr:twoCellAnchor editAs="absolute">
    <xdr:from>
      <xdr:col>17</xdr:col>
      <xdr:colOff>419100</xdr:colOff>
      <xdr:row>23</xdr:row>
      <xdr:rowOff>76200</xdr:rowOff>
    </xdr:from>
    <xdr:to>
      <xdr:col>24</xdr:col>
      <xdr:colOff>123825</xdr:colOff>
      <xdr:row>24</xdr:row>
      <xdr:rowOff>123825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SpPr txBox="1"/>
      </xdr:nvSpPr>
      <xdr:spPr>
        <a:xfrm>
          <a:off x="10782300" y="4457700"/>
          <a:ext cx="39719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0" i="0">
              <a:solidFill>
                <a:srgbClr val="1E2A26"/>
              </a:solidFill>
              <a:latin typeface="Segoe UI"/>
              <a:cs typeface="Segoe UI"/>
            </a:rPr>
            <a:t>Coffee data; secondary source</a:t>
          </a:r>
        </a:p>
      </xdr:txBody>
    </xdr:sp>
    <xdr:clientData/>
  </xdr:twoCellAnchor>
  <xdr:twoCellAnchor editAs="absolute">
    <xdr:from>
      <xdr:col>0</xdr:col>
      <xdr:colOff>495300</xdr:colOff>
      <xdr:row>24</xdr:row>
      <xdr:rowOff>152400</xdr:rowOff>
    </xdr:from>
    <xdr:to>
      <xdr:col>4</xdr:col>
      <xdr:colOff>409575</xdr:colOff>
      <xdr:row>26</xdr:row>
      <xdr:rowOff>9525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SpPr txBox="1"/>
      </xdr:nvSpPr>
      <xdr:spPr>
        <a:xfrm>
          <a:off x="495300" y="4724400"/>
          <a:ext cx="235267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1" i="0">
              <a:solidFill>
                <a:srgbClr val="1E2A26"/>
              </a:solidFill>
              <a:latin typeface="Segoe UI"/>
              <a:cs typeface="Segoe UI"/>
            </a:rPr>
            <a:t>Nepal Gazette (2026)</a:t>
          </a:r>
        </a:p>
      </xdr:txBody>
    </xdr:sp>
    <xdr:clientData/>
  </xdr:twoCellAnchor>
  <xdr:twoCellAnchor editAs="absolute">
    <xdr:from>
      <xdr:col>4</xdr:col>
      <xdr:colOff>438150</xdr:colOff>
      <xdr:row>24</xdr:row>
      <xdr:rowOff>152400</xdr:rowOff>
    </xdr:from>
    <xdr:to>
      <xdr:col>14</xdr:col>
      <xdr:colOff>28575</xdr:colOff>
      <xdr:row>26</xdr:row>
      <xdr:rowOff>9525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SpPr txBox="1"/>
      </xdr:nvSpPr>
      <xdr:spPr>
        <a:xfrm>
          <a:off x="2876550" y="4724400"/>
          <a:ext cx="56864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0" i="0">
              <a:solidFill>
                <a:srgbClr val="1E2A26"/>
              </a:solidFill>
              <a:latin typeface="Segoe UI"/>
              <a:cs typeface="Segoe UI"/>
            </a:rPr>
            <a:t>Nepal Gazette (2026) Notification expanding automatic FDI route, 16 February (2082/11/04).</a:t>
          </a:r>
        </a:p>
      </xdr:txBody>
    </xdr:sp>
    <xdr:clientData/>
  </xdr:twoCellAnchor>
  <xdr:twoCellAnchor editAs="absolute">
    <xdr:from>
      <xdr:col>14</xdr:col>
      <xdr:colOff>57150</xdr:colOff>
      <xdr:row>24</xdr:row>
      <xdr:rowOff>152400</xdr:rowOff>
    </xdr:from>
    <xdr:to>
      <xdr:col>16</xdr:col>
      <xdr:colOff>142875</xdr:colOff>
      <xdr:row>26</xdr:row>
      <xdr:rowOff>9525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 txBox="1"/>
      </xdr:nvSpPr>
      <xdr:spPr>
        <a:xfrm>
          <a:off x="8591550" y="4724400"/>
          <a:ext cx="13049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800" b="0" i="0">
              <a:solidFill>
                <a:srgbClr val="1E2A26"/>
              </a:solidFill>
              <a:latin typeface="Segoe UI"/>
              <a:cs typeface="Segoe UI"/>
            </a:rPr>
            <a:t>Government</a:t>
          </a:r>
        </a:p>
      </xdr:txBody>
    </xdr:sp>
    <xdr:clientData/>
  </xdr:twoCellAnchor>
  <xdr:twoCellAnchor editAs="absolute">
    <xdr:from>
      <xdr:col>16</xdr:col>
      <xdr:colOff>171450</xdr:colOff>
      <xdr:row>24</xdr:row>
      <xdr:rowOff>152400</xdr:rowOff>
    </xdr:from>
    <xdr:to>
      <xdr:col>17</xdr:col>
      <xdr:colOff>390525</xdr:colOff>
      <xdr:row>26</xdr:row>
      <xdr:rowOff>9525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 txBox="1"/>
      </xdr:nvSpPr>
      <xdr:spPr>
        <a:xfrm>
          <a:off x="9925050" y="4724400"/>
          <a:ext cx="828675" cy="238125"/>
        </a:xfrm>
        <a:prstGeom prst="rect">
          <a:avLst/>
        </a:prstGeom>
        <a:solidFill>
          <a:srgbClr val="F3E2B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800" b="1" i="0">
              <a:solidFill>
                <a:srgbClr val="7A5A12"/>
              </a:solidFill>
              <a:latin typeface="Segoe UI"/>
              <a:cs typeface="Segoe UI"/>
            </a:rPr>
            <a:t>Secondary</a:t>
          </a:r>
        </a:p>
      </xdr:txBody>
    </xdr:sp>
    <xdr:clientData/>
  </xdr:twoCellAnchor>
  <xdr:twoCellAnchor editAs="absolute">
    <xdr:from>
      <xdr:col>17</xdr:col>
      <xdr:colOff>419100</xdr:colOff>
      <xdr:row>24</xdr:row>
      <xdr:rowOff>152400</xdr:rowOff>
    </xdr:from>
    <xdr:to>
      <xdr:col>24</xdr:col>
      <xdr:colOff>123825</xdr:colOff>
      <xdr:row>26</xdr:row>
      <xdr:rowOff>9525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 txBox="1"/>
      </xdr:nvSpPr>
      <xdr:spPr>
        <a:xfrm>
          <a:off x="10782300" y="4724400"/>
          <a:ext cx="39719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0" i="0">
              <a:solidFill>
                <a:srgbClr val="1E2A26"/>
              </a:solidFill>
              <a:latin typeface="Segoe UI"/>
              <a:cs typeface="Segoe UI"/>
            </a:rPr>
            <a:t>Verified via legal commentary; primary text not directly accessed</a:t>
          </a:r>
        </a:p>
      </xdr:txBody>
    </xdr:sp>
    <xdr:clientData/>
  </xdr:twoCellAnchor>
  <xdr:twoCellAnchor editAs="absolute">
    <xdr:from>
      <xdr:col>0</xdr:col>
      <xdr:colOff>495300</xdr:colOff>
      <xdr:row>26</xdr:row>
      <xdr:rowOff>38100</xdr:rowOff>
    </xdr:from>
    <xdr:to>
      <xdr:col>4</xdr:col>
      <xdr:colOff>409575</xdr:colOff>
      <xdr:row>27</xdr:row>
      <xdr:rowOff>85725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SpPr txBox="1"/>
      </xdr:nvSpPr>
      <xdr:spPr>
        <a:xfrm>
          <a:off x="495300" y="4991100"/>
          <a:ext cx="235267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1" i="0">
              <a:solidFill>
                <a:srgbClr val="1E2A26"/>
              </a:solidFill>
              <a:latin typeface="Segoe UI"/>
              <a:cs typeface="Segoe UI"/>
            </a:rPr>
            <a:t>Starbucks (2025a)</a:t>
          </a:r>
        </a:p>
      </xdr:txBody>
    </xdr:sp>
    <xdr:clientData/>
  </xdr:twoCellAnchor>
  <xdr:twoCellAnchor editAs="absolute">
    <xdr:from>
      <xdr:col>4</xdr:col>
      <xdr:colOff>438150</xdr:colOff>
      <xdr:row>26</xdr:row>
      <xdr:rowOff>38100</xdr:rowOff>
    </xdr:from>
    <xdr:to>
      <xdr:col>14</xdr:col>
      <xdr:colOff>28575</xdr:colOff>
      <xdr:row>27</xdr:row>
      <xdr:rowOff>85725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SpPr txBox="1"/>
      </xdr:nvSpPr>
      <xdr:spPr>
        <a:xfrm>
          <a:off x="2876550" y="4991100"/>
          <a:ext cx="56864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0" i="0">
              <a:solidFill>
                <a:srgbClr val="1E2A26"/>
              </a:solidFill>
              <a:latin typeface="Segoe UI"/>
              <a:cs typeface="Segoe UI"/>
            </a:rPr>
            <a:t>Starbucks (2025a) Q4 and full fiscal year 2025 results, 29 October.</a:t>
          </a:r>
        </a:p>
      </xdr:txBody>
    </xdr:sp>
    <xdr:clientData/>
  </xdr:twoCellAnchor>
  <xdr:twoCellAnchor editAs="absolute">
    <xdr:from>
      <xdr:col>14</xdr:col>
      <xdr:colOff>57150</xdr:colOff>
      <xdr:row>26</xdr:row>
      <xdr:rowOff>38100</xdr:rowOff>
    </xdr:from>
    <xdr:to>
      <xdr:col>16</xdr:col>
      <xdr:colOff>142875</xdr:colOff>
      <xdr:row>27</xdr:row>
      <xdr:rowOff>85725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SpPr txBox="1"/>
      </xdr:nvSpPr>
      <xdr:spPr>
        <a:xfrm>
          <a:off x="8591550" y="4991100"/>
          <a:ext cx="13049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800" b="0" i="0">
              <a:solidFill>
                <a:srgbClr val="1E2A26"/>
              </a:solidFill>
              <a:latin typeface="Segoe UI"/>
              <a:cs typeface="Segoe UI"/>
            </a:rPr>
            <a:t>Corporate</a:t>
          </a:r>
        </a:p>
      </xdr:txBody>
    </xdr:sp>
    <xdr:clientData/>
  </xdr:twoCellAnchor>
  <xdr:twoCellAnchor editAs="absolute">
    <xdr:from>
      <xdr:col>16</xdr:col>
      <xdr:colOff>171450</xdr:colOff>
      <xdr:row>26</xdr:row>
      <xdr:rowOff>38100</xdr:rowOff>
    </xdr:from>
    <xdr:to>
      <xdr:col>17</xdr:col>
      <xdr:colOff>390525</xdr:colOff>
      <xdr:row>27</xdr:row>
      <xdr:rowOff>85725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SpPr txBox="1"/>
      </xdr:nvSpPr>
      <xdr:spPr>
        <a:xfrm>
          <a:off x="9925050" y="4991100"/>
          <a:ext cx="828675" cy="23812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800" b="1" i="0">
              <a:solidFill>
                <a:srgbClr val="0B5A3C"/>
              </a:solidFill>
              <a:latin typeface="Segoe UI"/>
              <a:cs typeface="Segoe UI"/>
            </a:rPr>
            <a:t>Yes</a:t>
          </a:r>
        </a:p>
      </xdr:txBody>
    </xdr:sp>
    <xdr:clientData/>
  </xdr:twoCellAnchor>
  <xdr:twoCellAnchor editAs="absolute">
    <xdr:from>
      <xdr:col>17</xdr:col>
      <xdr:colOff>419100</xdr:colOff>
      <xdr:row>26</xdr:row>
      <xdr:rowOff>38100</xdr:rowOff>
    </xdr:from>
    <xdr:to>
      <xdr:col>24</xdr:col>
      <xdr:colOff>123825</xdr:colOff>
      <xdr:row>27</xdr:row>
      <xdr:rowOff>85725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 txBox="1"/>
      </xdr:nvSpPr>
      <xdr:spPr>
        <a:xfrm>
          <a:off x="10782300" y="4991100"/>
          <a:ext cx="39719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0" i="0">
              <a:solidFill>
                <a:srgbClr val="1E2A26"/>
              </a:solidFill>
              <a:latin typeface="Segoe UI"/>
              <a:cs typeface="Segoe UI"/>
            </a:rPr>
            <a:t>Primary financial data</a:t>
          </a:r>
        </a:p>
      </xdr:txBody>
    </xdr:sp>
    <xdr:clientData/>
  </xdr:twoCellAnchor>
  <xdr:twoCellAnchor editAs="absolute">
    <xdr:from>
      <xdr:col>0</xdr:col>
      <xdr:colOff>495300</xdr:colOff>
      <xdr:row>27</xdr:row>
      <xdr:rowOff>114300</xdr:rowOff>
    </xdr:from>
    <xdr:to>
      <xdr:col>4</xdr:col>
      <xdr:colOff>409575</xdr:colOff>
      <xdr:row>28</xdr:row>
      <xdr:rowOff>161925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SpPr txBox="1"/>
      </xdr:nvSpPr>
      <xdr:spPr>
        <a:xfrm>
          <a:off x="495300" y="5257800"/>
          <a:ext cx="235267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1" i="0">
              <a:solidFill>
                <a:srgbClr val="1E2A26"/>
              </a:solidFill>
              <a:latin typeface="Segoe UI"/>
              <a:cs typeface="Segoe UI"/>
            </a:rPr>
            <a:t>Starbucks (2025b)</a:t>
          </a:r>
        </a:p>
      </xdr:txBody>
    </xdr:sp>
    <xdr:clientData/>
  </xdr:twoCellAnchor>
  <xdr:twoCellAnchor editAs="absolute">
    <xdr:from>
      <xdr:col>4</xdr:col>
      <xdr:colOff>438150</xdr:colOff>
      <xdr:row>27</xdr:row>
      <xdr:rowOff>114300</xdr:rowOff>
    </xdr:from>
    <xdr:to>
      <xdr:col>14</xdr:col>
      <xdr:colOff>28575</xdr:colOff>
      <xdr:row>28</xdr:row>
      <xdr:rowOff>161925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SpPr txBox="1"/>
      </xdr:nvSpPr>
      <xdr:spPr>
        <a:xfrm>
          <a:off x="2876550" y="5257800"/>
          <a:ext cx="56864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0" i="0">
              <a:solidFill>
                <a:srgbClr val="1E2A26"/>
              </a:solidFill>
              <a:latin typeface="Segoe UI"/>
              <a:cs typeface="Segoe UI"/>
            </a:rPr>
            <a:t>Starbucks (2025b) Fiscal 2025 global impact report.</a:t>
          </a:r>
        </a:p>
      </xdr:txBody>
    </xdr:sp>
    <xdr:clientData/>
  </xdr:twoCellAnchor>
  <xdr:twoCellAnchor editAs="absolute">
    <xdr:from>
      <xdr:col>14</xdr:col>
      <xdr:colOff>57150</xdr:colOff>
      <xdr:row>27</xdr:row>
      <xdr:rowOff>114300</xdr:rowOff>
    </xdr:from>
    <xdr:to>
      <xdr:col>16</xdr:col>
      <xdr:colOff>142875</xdr:colOff>
      <xdr:row>28</xdr:row>
      <xdr:rowOff>161925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SpPr txBox="1"/>
      </xdr:nvSpPr>
      <xdr:spPr>
        <a:xfrm>
          <a:off x="8591550" y="5257800"/>
          <a:ext cx="13049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800" b="0" i="0">
              <a:solidFill>
                <a:srgbClr val="1E2A26"/>
              </a:solidFill>
              <a:latin typeface="Segoe UI"/>
              <a:cs typeface="Segoe UI"/>
            </a:rPr>
            <a:t>Corporate</a:t>
          </a:r>
        </a:p>
      </xdr:txBody>
    </xdr:sp>
    <xdr:clientData/>
  </xdr:twoCellAnchor>
  <xdr:twoCellAnchor editAs="absolute">
    <xdr:from>
      <xdr:col>16</xdr:col>
      <xdr:colOff>171450</xdr:colOff>
      <xdr:row>27</xdr:row>
      <xdr:rowOff>114300</xdr:rowOff>
    </xdr:from>
    <xdr:to>
      <xdr:col>17</xdr:col>
      <xdr:colOff>390525</xdr:colOff>
      <xdr:row>28</xdr:row>
      <xdr:rowOff>161925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SpPr txBox="1"/>
      </xdr:nvSpPr>
      <xdr:spPr>
        <a:xfrm>
          <a:off x="9925050" y="5257800"/>
          <a:ext cx="828675" cy="23812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800" b="1" i="0">
              <a:solidFill>
                <a:srgbClr val="0B5A3C"/>
              </a:solidFill>
              <a:latin typeface="Segoe UI"/>
              <a:cs typeface="Segoe UI"/>
            </a:rPr>
            <a:t>Yes</a:t>
          </a:r>
        </a:p>
      </xdr:txBody>
    </xdr:sp>
    <xdr:clientData/>
  </xdr:twoCellAnchor>
  <xdr:twoCellAnchor editAs="absolute">
    <xdr:from>
      <xdr:col>17</xdr:col>
      <xdr:colOff>419100</xdr:colOff>
      <xdr:row>27</xdr:row>
      <xdr:rowOff>114300</xdr:rowOff>
    </xdr:from>
    <xdr:to>
      <xdr:col>24</xdr:col>
      <xdr:colOff>123825</xdr:colOff>
      <xdr:row>28</xdr:row>
      <xdr:rowOff>161925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SpPr txBox="1"/>
      </xdr:nvSpPr>
      <xdr:spPr>
        <a:xfrm>
          <a:off x="10782300" y="5257800"/>
          <a:ext cx="39719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0" i="0">
              <a:solidFill>
                <a:srgbClr val="1E2A26"/>
              </a:solidFill>
              <a:latin typeface="Segoe UI"/>
              <a:cs typeface="Segoe UI"/>
            </a:rPr>
            <a:t>Primary sustainability data</a:t>
          </a:r>
        </a:p>
      </xdr:txBody>
    </xdr:sp>
    <xdr:clientData/>
  </xdr:twoCellAnchor>
  <xdr:twoCellAnchor editAs="absolute">
    <xdr:from>
      <xdr:col>0</xdr:col>
      <xdr:colOff>495300</xdr:colOff>
      <xdr:row>29</xdr:row>
      <xdr:rowOff>0</xdr:rowOff>
    </xdr:from>
    <xdr:to>
      <xdr:col>4</xdr:col>
      <xdr:colOff>409575</xdr:colOff>
      <xdr:row>30</xdr:row>
      <xdr:rowOff>47625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SpPr txBox="1"/>
      </xdr:nvSpPr>
      <xdr:spPr>
        <a:xfrm>
          <a:off x="495300" y="5524500"/>
          <a:ext cx="235267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1" i="0">
              <a:solidFill>
                <a:srgbClr val="1E2A26"/>
              </a:solidFill>
              <a:latin typeface="Segoe UI"/>
              <a:cs typeface="Segoe UI"/>
            </a:rPr>
            <a:t>Starbucks (2025c)</a:t>
          </a:r>
        </a:p>
      </xdr:txBody>
    </xdr:sp>
    <xdr:clientData/>
  </xdr:twoCellAnchor>
  <xdr:twoCellAnchor editAs="absolute">
    <xdr:from>
      <xdr:col>4</xdr:col>
      <xdr:colOff>438150</xdr:colOff>
      <xdr:row>29</xdr:row>
      <xdr:rowOff>0</xdr:rowOff>
    </xdr:from>
    <xdr:to>
      <xdr:col>14</xdr:col>
      <xdr:colOff>28575</xdr:colOff>
      <xdr:row>30</xdr:row>
      <xdr:rowOff>47625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SpPr txBox="1"/>
      </xdr:nvSpPr>
      <xdr:spPr>
        <a:xfrm>
          <a:off x="2876550" y="5524500"/>
          <a:ext cx="56864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0" i="0">
              <a:solidFill>
                <a:srgbClr val="1E2A26"/>
              </a:solidFill>
              <a:latin typeface="Segoe UI"/>
              <a:cs typeface="Segoe UI"/>
            </a:rPr>
            <a:t>Starbucks (2025c) Back to Starbucks: transforming our support organization.</a:t>
          </a:r>
        </a:p>
      </xdr:txBody>
    </xdr:sp>
    <xdr:clientData/>
  </xdr:twoCellAnchor>
  <xdr:twoCellAnchor editAs="absolute">
    <xdr:from>
      <xdr:col>14</xdr:col>
      <xdr:colOff>57150</xdr:colOff>
      <xdr:row>29</xdr:row>
      <xdr:rowOff>0</xdr:rowOff>
    </xdr:from>
    <xdr:to>
      <xdr:col>16</xdr:col>
      <xdr:colOff>142875</xdr:colOff>
      <xdr:row>30</xdr:row>
      <xdr:rowOff>47625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SpPr txBox="1"/>
      </xdr:nvSpPr>
      <xdr:spPr>
        <a:xfrm>
          <a:off x="8591550" y="5524500"/>
          <a:ext cx="13049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800" b="0" i="0">
              <a:solidFill>
                <a:srgbClr val="1E2A26"/>
              </a:solidFill>
              <a:latin typeface="Segoe UI"/>
              <a:cs typeface="Segoe UI"/>
            </a:rPr>
            <a:t>Corporate</a:t>
          </a:r>
        </a:p>
      </xdr:txBody>
    </xdr:sp>
    <xdr:clientData/>
  </xdr:twoCellAnchor>
  <xdr:twoCellAnchor editAs="absolute">
    <xdr:from>
      <xdr:col>16</xdr:col>
      <xdr:colOff>171450</xdr:colOff>
      <xdr:row>29</xdr:row>
      <xdr:rowOff>0</xdr:rowOff>
    </xdr:from>
    <xdr:to>
      <xdr:col>17</xdr:col>
      <xdr:colOff>390525</xdr:colOff>
      <xdr:row>30</xdr:row>
      <xdr:rowOff>47625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SpPr txBox="1"/>
      </xdr:nvSpPr>
      <xdr:spPr>
        <a:xfrm>
          <a:off x="9925050" y="5524500"/>
          <a:ext cx="828675" cy="23812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800" b="1" i="0">
              <a:solidFill>
                <a:srgbClr val="0B5A3C"/>
              </a:solidFill>
              <a:latin typeface="Segoe UI"/>
              <a:cs typeface="Segoe UI"/>
            </a:rPr>
            <a:t>Yes</a:t>
          </a:r>
        </a:p>
      </xdr:txBody>
    </xdr:sp>
    <xdr:clientData/>
  </xdr:twoCellAnchor>
  <xdr:twoCellAnchor editAs="absolute">
    <xdr:from>
      <xdr:col>17</xdr:col>
      <xdr:colOff>419100</xdr:colOff>
      <xdr:row>29</xdr:row>
      <xdr:rowOff>0</xdr:rowOff>
    </xdr:from>
    <xdr:to>
      <xdr:col>24</xdr:col>
      <xdr:colOff>123825</xdr:colOff>
      <xdr:row>30</xdr:row>
      <xdr:rowOff>47625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SpPr txBox="1"/>
      </xdr:nvSpPr>
      <xdr:spPr>
        <a:xfrm>
          <a:off x="10782300" y="5524500"/>
          <a:ext cx="39719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0" i="0">
              <a:solidFill>
                <a:srgbClr val="1E2A26"/>
              </a:solidFill>
              <a:latin typeface="Segoe UI"/>
              <a:cs typeface="Segoe UI"/>
            </a:rPr>
            <a:t>Primary partner investment data</a:t>
          </a:r>
        </a:p>
      </xdr:txBody>
    </xdr:sp>
    <xdr:clientData/>
  </xdr:twoCellAnchor>
  <xdr:twoCellAnchor editAs="absolute">
    <xdr:from>
      <xdr:col>0</xdr:col>
      <xdr:colOff>495300</xdr:colOff>
      <xdr:row>30</xdr:row>
      <xdr:rowOff>76200</xdr:rowOff>
    </xdr:from>
    <xdr:to>
      <xdr:col>4</xdr:col>
      <xdr:colOff>409575</xdr:colOff>
      <xdr:row>31</xdr:row>
      <xdr:rowOff>123825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SpPr txBox="1"/>
      </xdr:nvSpPr>
      <xdr:spPr>
        <a:xfrm>
          <a:off x="495300" y="5791200"/>
          <a:ext cx="235267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1" i="0">
              <a:solidFill>
                <a:srgbClr val="1E2A26"/>
              </a:solidFill>
              <a:latin typeface="Segoe UI"/>
              <a:cs typeface="Segoe UI"/>
            </a:rPr>
            <a:t>Starbucks (2026a)</a:t>
          </a:r>
        </a:p>
      </xdr:txBody>
    </xdr:sp>
    <xdr:clientData/>
  </xdr:twoCellAnchor>
  <xdr:twoCellAnchor editAs="absolute">
    <xdr:from>
      <xdr:col>4</xdr:col>
      <xdr:colOff>438150</xdr:colOff>
      <xdr:row>30</xdr:row>
      <xdr:rowOff>76200</xdr:rowOff>
    </xdr:from>
    <xdr:to>
      <xdr:col>14</xdr:col>
      <xdr:colOff>28575</xdr:colOff>
      <xdr:row>31</xdr:row>
      <xdr:rowOff>123825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SpPr txBox="1"/>
      </xdr:nvSpPr>
      <xdr:spPr>
        <a:xfrm>
          <a:off x="2876550" y="5791200"/>
          <a:ext cx="56864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0" i="0">
              <a:solidFill>
                <a:srgbClr val="1E2A26"/>
              </a:solidFill>
              <a:latin typeface="Segoe UI"/>
              <a:cs typeface="Segoe UI"/>
            </a:rPr>
            <a:t>Starbucks (2026a) Starbucks and Boyu Capital finalize joint venture, 2 April.</a:t>
          </a:r>
        </a:p>
      </xdr:txBody>
    </xdr:sp>
    <xdr:clientData/>
  </xdr:twoCellAnchor>
  <xdr:twoCellAnchor editAs="absolute">
    <xdr:from>
      <xdr:col>14</xdr:col>
      <xdr:colOff>57150</xdr:colOff>
      <xdr:row>30</xdr:row>
      <xdr:rowOff>76200</xdr:rowOff>
    </xdr:from>
    <xdr:to>
      <xdr:col>16</xdr:col>
      <xdr:colOff>142875</xdr:colOff>
      <xdr:row>31</xdr:row>
      <xdr:rowOff>123825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400-000051000000}"/>
            </a:ext>
          </a:extLst>
        </xdr:cNvPr>
        <xdr:cNvSpPr txBox="1"/>
      </xdr:nvSpPr>
      <xdr:spPr>
        <a:xfrm>
          <a:off x="8591550" y="5791200"/>
          <a:ext cx="13049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800" b="0" i="0">
              <a:solidFill>
                <a:srgbClr val="1E2A26"/>
              </a:solidFill>
              <a:latin typeface="Segoe UI"/>
              <a:cs typeface="Segoe UI"/>
            </a:rPr>
            <a:t>Corporate</a:t>
          </a:r>
        </a:p>
      </xdr:txBody>
    </xdr:sp>
    <xdr:clientData/>
  </xdr:twoCellAnchor>
  <xdr:twoCellAnchor editAs="absolute">
    <xdr:from>
      <xdr:col>16</xdr:col>
      <xdr:colOff>171450</xdr:colOff>
      <xdr:row>30</xdr:row>
      <xdr:rowOff>76200</xdr:rowOff>
    </xdr:from>
    <xdr:to>
      <xdr:col>17</xdr:col>
      <xdr:colOff>390525</xdr:colOff>
      <xdr:row>31</xdr:row>
      <xdr:rowOff>123825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SpPr txBox="1"/>
      </xdr:nvSpPr>
      <xdr:spPr>
        <a:xfrm>
          <a:off x="9925050" y="5791200"/>
          <a:ext cx="828675" cy="23812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800" b="1" i="0">
              <a:solidFill>
                <a:srgbClr val="0B5A3C"/>
              </a:solidFill>
              <a:latin typeface="Segoe UI"/>
              <a:cs typeface="Segoe UI"/>
            </a:rPr>
            <a:t>Yes</a:t>
          </a:r>
        </a:p>
      </xdr:txBody>
    </xdr:sp>
    <xdr:clientData/>
  </xdr:twoCellAnchor>
  <xdr:twoCellAnchor editAs="absolute">
    <xdr:from>
      <xdr:col>17</xdr:col>
      <xdr:colOff>419100</xdr:colOff>
      <xdr:row>30</xdr:row>
      <xdr:rowOff>76200</xdr:rowOff>
    </xdr:from>
    <xdr:to>
      <xdr:col>24</xdr:col>
      <xdr:colOff>123825</xdr:colOff>
      <xdr:row>31</xdr:row>
      <xdr:rowOff>123825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SpPr txBox="1"/>
      </xdr:nvSpPr>
      <xdr:spPr>
        <a:xfrm>
          <a:off x="10782300" y="5791200"/>
          <a:ext cx="39719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0" i="0">
              <a:solidFill>
                <a:srgbClr val="1E2A26"/>
              </a:solidFill>
              <a:latin typeface="Segoe UI"/>
              <a:cs typeface="Segoe UI"/>
            </a:rPr>
            <a:t>Primary JV data</a:t>
          </a:r>
        </a:p>
      </xdr:txBody>
    </xdr:sp>
    <xdr:clientData/>
  </xdr:twoCellAnchor>
  <xdr:twoCellAnchor editAs="absolute">
    <xdr:from>
      <xdr:col>0</xdr:col>
      <xdr:colOff>495300</xdr:colOff>
      <xdr:row>31</xdr:row>
      <xdr:rowOff>152400</xdr:rowOff>
    </xdr:from>
    <xdr:to>
      <xdr:col>4</xdr:col>
      <xdr:colOff>409575</xdr:colOff>
      <xdr:row>33</xdr:row>
      <xdr:rowOff>9525</xdr:rowOff>
    </xdr:to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SpPr txBox="1"/>
      </xdr:nvSpPr>
      <xdr:spPr>
        <a:xfrm>
          <a:off x="495300" y="6057900"/>
          <a:ext cx="235267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1" i="0">
              <a:solidFill>
                <a:srgbClr val="1E2A26"/>
              </a:solidFill>
              <a:latin typeface="Segoe UI"/>
              <a:cs typeface="Segoe UI"/>
            </a:rPr>
            <a:t>World Bank (2025)</a:t>
          </a:r>
        </a:p>
      </xdr:txBody>
    </xdr:sp>
    <xdr:clientData/>
  </xdr:twoCellAnchor>
  <xdr:twoCellAnchor editAs="absolute">
    <xdr:from>
      <xdr:col>4</xdr:col>
      <xdr:colOff>438150</xdr:colOff>
      <xdr:row>31</xdr:row>
      <xdr:rowOff>152400</xdr:rowOff>
    </xdr:from>
    <xdr:to>
      <xdr:col>14</xdr:col>
      <xdr:colOff>28575</xdr:colOff>
      <xdr:row>33</xdr:row>
      <xdr:rowOff>9525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SpPr txBox="1"/>
      </xdr:nvSpPr>
      <xdr:spPr>
        <a:xfrm>
          <a:off x="2876550" y="6057900"/>
          <a:ext cx="56864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0" i="0">
              <a:solidFill>
                <a:srgbClr val="1E2A26"/>
              </a:solidFill>
              <a:latin typeface="Segoe UI"/>
              <a:cs typeface="Segoe UI"/>
            </a:rPr>
            <a:t>World Bank (2025) Nepal country data.</a:t>
          </a:r>
        </a:p>
      </xdr:txBody>
    </xdr:sp>
    <xdr:clientData/>
  </xdr:twoCellAnchor>
  <xdr:twoCellAnchor editAs="absolute">
    <xdr:from>
      <xdr:col>14</xdr:col>
      <xdr:colOff>57150</xdr:colOff>
      <xdr:row>31</xdr:row>
      <xdr:rowOff>152400</xdr:rowOff>
    </xdr:from>
    <xdr:to>
      <xdr:col>16</xdr:col>
      <xdr:colOff>142875</xdr:colOff>
      <xdr:row>33</xdr:row>
      <xdr:rowOff>9525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400-000056000000}"/>
            </a:ext>
          </a:extLst>
        </xdr:cNvPr>
        <xdr:cNvSpPr txBox="1"/>
      </xdr:nvSpPr>
      <xdr:spPr>
        <a:xfrm>
          <a:off x="8591550" y="6057900"/>
          <a:ext cx="13049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800" b="0" i="0">
              <a:solidFill>
                <a:srgbClr val="1E2A26"/>
              </a:solidFill>
              <a:latin typeface="Segoe UI"/>
              <a:cs typeface="Segoe UI"/>
            </a:rPr>
            <a:t>Multilateral</a:t>
          </a:r>
        </a:p>
      </xdr:txBody>
    </xdr:sp>
    <xdr:clientData/>
  </xdr:twoCellAnchor>
  <xdr:twoCellAnchor editAs="absolute">
    <xdr:from>
      <xdr:col>16</xdr:col>
      <xdr:colOff>171450</xdr:colOff>
      <xdr:row>31</xdr:row>
      <xdr:rowOff>152400</xdr:rowOff>
    </xdr:from>
    <xdr:to>
      <xdr:col>17</xdr:col>
      <xdr:colOff>390525</xdr:colOff>
      <xdr:row>33</xdr:row>
      <xdr:rowOff>9525</xdr:rowOff>
    </xdr:to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SpPr txBox="1"/>
      </xdr:nvSpPr>
      <xdr:spPr>
        <a:xfrm>
          <a:off x="9925050" y="6057900"/>
          <a:ext cx="828675" cy="23812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800" b="1" i="0">
              <a:solidFill>
                <a:srgbClr val="0B5A3C"/>
              </a:solidFill>
              <a:latin typeface="Segoe UI"/>
              <a:cs typeface="Segoe UI"/>
            </a:rPr>
            <a:t>Yes</a:t>
          </a:r>
        </a:p>
      </xdr:txBody>
    </xdr:sp>
    <xdr:clientData/>
  </xdr:twoCellAnchor>
  <xdr:twoCellAnchor editAs="absolute">
    <xdr:from>
      <xdr:col>17</xdr:col>
      <xdr:colOff>419100</xdr:colOff>
      <xdr:row>31</xdr:row>
      <xdr:rowOff>152400</xdr:rowOff>
    </xdr:from>
    <xdr:to>
      <xdr:col>24</xdr:col>
      <xdr:colOff>123825</xdr:colOff>
      <xdr:row>33</xdr:row>
      <xdr:rowOff>9525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0000000-0008-0000-0400-000058000000}"/>
            </a:ext>
          </a:extLst>
        </xdr:cNvPr>
        <xdr:cNvSpPr txBox="1"/>
      </xdr:nvSpPr>
      <xdr:spPr>
        <a:xfrm>
          <a:off x="10782300" y="6057900"/>
          <a:ext cx="39719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0" i="0">
              <a:solidFill>
                <a:srgbClr val="1E2A26"/>
              </a:solidFill>
              <a:latin typeface="Segoe UI"/>
              <a:cs typeface="Segoe UI"/>
            </a:rPr>
            <a:t>Primary macro data</a:t>
          </a:r>
        </a:p>
      </xdr:txBody>
    </xdr:sp>
    <xdr:clientData/>
  </xdr:twoCellAnchor>
  <xdr:twoCellAnchor editAs="absolute">
    <xdr:from>
      <xdr:col>0</xdr:col>
      <xdr:colOff>495300</xdr:colOff>
      <xdr:row>33</xdr:row>
      <xdr:rowOff>38100</xdr:rowOff>
    </xdr:from>
    <xdr:to>
      <xdr:col>4</xdr:col>
      <xdr:colOff>409575</xdr:colOff>
      <xdr:row>34</xdr:row>
      <xdr:rowOff>85725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SpPr txBox="1"/>
      </xdr:nvSpPr>
      <xdr:spPr>
        <a:xfrm>
          <a:off x="495300" y="6324600"/>
          <a:ext cx="235267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1" i="0">
              <a:solidFill>
                <a:srgbClr val="1E2A26"/>
              </a:solidFill>
              <a:latin typeface="Segoe UI"/>
              <a:cs typeface="Segoe UI"/>
            </a:rPr>
            <a:t>World Bank (2026)</a:t>
          </a:r>
        </a:p>
      </xdr:txBody>
    </xdr:sp>
    <xdr:clientData/>
  </xdr:twoCellAnchor>
  <xdr:twoCellAnchor editAs="absolute">
    <xdr:from>
      <xdr:col>4</xdr:col>
      <xdr:colOff>438150</xdr:colOff>
      <xdr:row>33</xdr:row>
      <xdr:rowOff>38100</xdr:rowOff>
    </xdr:from>
    <xdr:to>
      <xdr:col>14</xdr:col>
      <xdr:colOff>28575</xdr:colOff>
      <xdr:row>34</xdr:row>
      <xdr:rowOff>85725</xdr:rowOff>
    </xdr:to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000000-0008-0000-0400-00005A000000}"/>
            </a:ext>
          </a:extLst>
        </xdr:cNvPr>
        <xdr:cNvSpPr txBox="1"/>
      </xdr:nvSpPr>
      <xdr:spPr>
        <a:xfrm>
          <a:off x="2876550" y="6324600"/>
          <a:ext cx="56864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0" i="0">
              <a:solidFill>
                <a:srgbClr val="1E2A26"/>
              </a:solidFill>
              <a:latin typeface="Segoe UI"/>
              <a:cs typeface="Segoe UI"/>
            </a:rPr>
            <a:t>World Bank (2026) Nepal development update, April 2026.</a:t>
          </a:r>
        </a:p>
      </xdr:txBody>
    </xdr:sp>
    <xdr:clientData/>
  </xdr:twoCellAnchor>
  <xdr:twoCellAnchor editAs="absolute">
    <xdr:from>
      <xdr:col>14</xdr:col>
      <xdr:colOff>57150</xdr:colOff>
      <xdr:row>33</xdr:row>
      <xdr:rowOff>38100</xdr:rowOff>
    </xdr:from>
    <xdr:to>
      <xdr:col>16</xdr:col>
      <xdr:colOff>142875</xdr:colOff>
      <xdr:row>34</xdr:row>
      <xdr:rowOff>85725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400-00005B000000}"/>
            </a:ext>
          </a:extLst>
        </xdr:cNvPr>
        <xdr:cNvSpPr txBox="1"/>
      </xdr:nvSpPr>
      <xdr:spPr>
        <a:xfrm>
          <a:off x="8591550" y="6324600"/>
          <a:ext cx="13049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800" b="0" i="0">
              <a:solidFill>
                <a:srgbClr val="1E2A26"/>
              </a:solidFill>
              <a:latin typeface="Segoe UI"/>
              <a:cs typeface="Segoe UI"/>
            </a:rPr>
            <a:t>Multilateral</a:t>
          </a:r>
        </a:p>
      </xdr:txBody>
    </xdr:sp>
    <xdr:clientData/>
  </xdr:twoCellAnchor>
  <xdr:twoCellAnchor editAs="absolute">
    <xdr:from>
      <xdr:col>16</xdr:col>
      <xdr:colOff>171450</xdr:colOff>
      <xdr:row>33</xdr:row>
      <xdr:rowOff>38100</xdr:rowOff>
    </xdr:from>
    <xdr:to>
      <xdr:col>17</xdr:col>
      <xdr:colOff>390525</xdr:colOff>
      <xdr:row>34</xdr:row>
      <xdr:rowOff>85725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0000000-0008-0000-0400-00005C000000}"/>
            </a:ext>
          </a:extLst>
        </xdr:cNvPr>
        <xdr:cNvSpPr txBox="1"/>
      </xdr:nvSpPr>
      <xdr:spPr>
        <a:xfrm>
          <a:off x="9925050" y="6324600"/>
          <a:ext cx="828675" cy="238125"/>
        </a:xfrm>
        <a:prstGeom prst="rect">
          <a:avLst/>
        </a:prstGeom>
        <a:solidFill>
          <a:srgbClr val="CFE8D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800" b="1" i="0">
              <a:solidFill>
                <a:srgbClr val="0B5A3C"/>
              </a:solidFill>
              <a:latin typeface="Segoe UI"/>
              <a:cs typeface="Segoe UI"/>
            </a:rPr>
            <a:t>Yes</a:t>
          </a:r>
        </a:p>
      </xdr:txBody>
    </xdr:sp>
    <xdr:clientData/>
  </xdr:twoCellAnchor>
  <xdr:twoCellAnchor editAs="absolute">
    <xdr:from>
      <xdr:col>17</xdr:col>
      <xdr:colOff>419100</xdr:colOff>
      <xdr:row>33</xdr:row>
      <xdr:rowOff>38100</xdr:rowOff>
    </xdr:from>
    <xdr:to>
      <xdr:col>24</xdr:col>
      <xdr:colOff>123825</xdr:colOff>
      <xdr:row>34</xdr:row>
      <xdr:rowOff>85725</xdr:rowOff>
    </xdr:to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400-00005D000000}"/>
            </a:ext>
          </a:extLst>
        </xdr:cNvPr>
        <xdr:cNvSpPr txBox="1"/>
      </xdr:nvSpPr>
      <xdr:spPr>
        <a:xfrm>
          <a:off x="10782300" y="6324600"/>
          <a:ext cx="39719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0" i="0">
              <a:solidFill>
                <a:srgbClr val="1E2A26"/>
              </a:solidFill>
              <a:latin typeface="Segoe UI"/>
              <a:cs typeface="Segoe UI"/>
            </a:rPr>
            <a:t>Primary macro/political data</a:t>
          </a:r>
        </a:p>
      </xdr:txBody>
    </xdr:sp>
    <xdr:clientData/>
  </xdr:twoCellAnchor>
  <xdr:twoCellAnchor editAs="absolute">
    <xdr:from>
      <xdr:col>0</xdr:col>
      <xdr:colOff>342900</xdr:colOff>
      <xdr:row>36</xdr:row>
      <xdr:rowOff>114300</xdr:rowOff>
    </xdr:from>
    <xdr:to>
      <xdr:col>24</xdr:col>
      <xdr:colOff>266700</xdr:colOff>
      <xdr:row>54</xdr:row>
      <xdr:rowOff>114300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0000000-0008-0000-0400-00005E000000}"/>
            </a:ext>
          </a:extLst>
        </xdr:cNvPr>
        <xdr:cNvSpPr txBox="1"/>
      </xdr:nvSpPr>
      <xdr:spPr>
        <a:xfrm>
          <a:off x="342900" y="6972300"/>
          <a:ext cx="14554200" cy="3429000"/>
        </a:xfrm>
        <a:prstGeom prst="rect">
          <a:avLst/>
        </a:prstGeom>
        <a:solidFill>
          <a:srgbClr val="FFFFFF"/>
        </a:solidFill>
        <a:ln w="9525" cmpd="sng">
          <a:solidFill>
            <a:srgbClr val="E3DED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000" b="0" i="0">
            <a:solidFill>
              <a:srgbClr val="1E2A26"/>
            </a:solidFill>
            <a:latin typeface="Segoe UI"/>
            <a:cs typeface="Segoe UI"/>
          </a:endParaRPr>
        </a:p>
      </xdr:txBody>
    </xdr:sp>
    <xdr:clientData/>
  </xdr:twoCellAnchor>
  <xdr:twoCellAnchor editAs="absolute">
    <xdr:from>
      <xdr:col>0</xdr:col>
      <xdr:colOff>514350</xdr:colOff>
      <xdr:row>37</xdr:row>
      <xdr:rowOff>38100</xdr:rowOff>
    </xdr:from>
    <xdr:to>
      <xdr:col>24</xdr:col>
      <xdr:colOff>95250</xdr:colOff>
      <xdr:row>38</xdr:row>
      <xdr:rowOff>95250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0000000-0008-0000-0400-00005F000000}"/>
            </a:ext>
          </a:extLst>
        </xdr:cNvPr>
        <xdr:cNvSpPr txBox="1"/>
      </xdr:nvSpPr>
      <xdr:spPr>
        <a:xfrm>
          <a:off x="514350" y="7086600"/>
          <a:ext cx="142113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 i="0">
              <a:solidFill>
                <a:srgbClr val="1E3932"/>
              </a:solidFill>
              <a:latin typeface="Segoe UI"/>
              <a:cs typeface="Segoe UI"/>
            </a:rPr>
            <a:t>Verification exceptions</a:t>
          </a:r>
        </a:p>
      </xdr:txBody>
    </xdr:sp>
    <xdr:clientData/>
  </xdr:twoCellAnchor>
  <xdr:twoCellAnchor editAs="absolute">
    <xdr:from>
      <xdr:col>0</xdr:col>
      <xdr:colOff>514350</xdr:colOff>
      <xdr:row>38</xdr:row>
      <xdr:rowOff>95250</xdr:rowOff>
    </xdr:from>
    <xdr:to>
      <xdr:col>24</xdr:col>
      <xdr:colOff>95250</xdr:colOff>
      <xdr:row>39</xdr:row>
      <xdr:rowOff>95250</xdr:rowOff>
    </xdr:to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0000000-0008-0000-0400-000060000000}"/>
            </a:ext>
          </a:extLst>
        </xdr:cNvPr>
        <xdr:cNvSpPr txBox="1"/>
      </xdr:nvSpPr>
      <xdr:spPr>
        <a:xfrm>
          <a:off x="514350" y="7334250"/>
          <a:ext cx="142113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0" i="0">
              <a:solidFill>
                <a:srgbClr val="6B7A74"/>
              </a:solidFill>
              <a:latin typeface="Segoe UI"/>
              <a:cs typeface="Segoe UI"/>
            </a:rPr>
            <a:t>Disclosed uncertainties and how the report treats them</a:t>
          </a:r>
        </a:p>
      </xdr:txBody>
    </xdr:sp>
    <xdr:clientData/>
  </xdr:twoCellAnchor>
  <xdr:twoCellAnchor editAs="absolute">
    <xdr:from>
      <xdr:col>0</xdr:col>
      <xdr:colOff>495300</xdr:colOff>
      <xdr:row>39</xdr:row>
      <xdr:rowOff>171450</xdr:rowOff>
    </xdr:from>
    <xdr:to>
      <xdr:col>5</xdr:col>
      <xdr:colOff>561975</xdr:colOff>
      <xdr:row>41</xdr:row>
      <xdr:rowOff>104775</xdr:rowOff>
    </xdr:to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0000000-0008-0000-0400-000061000000}"/>
            </a:ext>
          </a:extLst>
        </xdr:cNvPr>
        <xdr:cNvSpPr txBox="1"/>
      </xdr:nvSpPr>
      <xdr:spPr>
        <a:xfrm>
          <a:off x="495300" y="7600950"/>
          <a:ext cx="3114675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1" i="0">
              <a:solidFill>
                <a:srgbClr val="6B7A74"/>
              </a:solidFill>
              <a:latin typeface="Segoe UI"/>
              <a:cs typeface="Segoe UI"/>
            </a:rPr>
            <a:t>Claim</a:t>
          </a:r>
        </a:p>
      </xdr:txBody>
    </xdr:sp>
    <xdr:clientData/>
  </xdr:twoCellAnchor>
  <xdr:twoCellAnchor editAs="absolute">
    <xdr:from>
      <xdr:col>5</xdr:col>
      <xdr:colOff>590550</xdr:colOff>
      <xdr:row>39</xdr:row>
      <xdr:rowOff>171450</xdr:rowOff>
    </xdr:from>
    <xdr:to>
      <xdr:col>8</xdr:col>
      <xdr:colOff>352425</xdr:colOff>
      <xdr:row>41</xdr:row>
      <xdr:rowOff>104775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0000000-0008-0000-0400-000062000000}"/>
            </a:ext>
          </a:extLst>
        </xdr:cNvPr>
        <xdr:cNvSpPr txBox="1"/>
      </xdr:nvSpPr>
      <xdr:spPr>
        <a:xfrm>
          <a:off x="3638550" y="7600950"/>
          <a:ext cx="1590675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6B7A74"/>
              </a:solidFill>
              <a:latin typeface="Segoe UI"/>
              <a:cs typeface="Segoe UI"/>
            </a:rPr>
            <a:t>Status</a:t>
          </a:r>
        </a:p>
      </xdr:txBody>
    </xdr:sp>
    <xdr:clientData/>
  </xdr:twoCellAnchor>
  <xdr:twoCellAnchor editAs="absolute">
    <xdr:from>
      <xdr:col>8</xdr:col>
      <xdr:colOff>381000</xdr:colOff>
      <xdr:row>39</xdr:row>
      <xdr:rowOff>171450</xdr:rowOff>
    </xdr:from>
    <xdr:to>
      <xdr:col>14</xdr:col>
      <xdr:colOff>314325</xdr:colOff>
      <xdr:row>41</xdr:row>
      <xdr:rowOff>104775</xdr:rowOff>
    </xdr:to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00000000-0008-0000-0400-000063000000}"/>
            </a:ext>
          </a:extLst>
        </xdr:cNvPr>
        <xdr:cNvSpPr txBox="1"/>
      </xdr:nvSpPr>
      <xdr:spPr>
        <a:xfrm>
          <a:off x="5257800" y="7600950"/>
          <a:ext cx="3590925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1" i="0">
              <a:solidFill>
                <a:srgbClr val="6B7A74"/>
              </a:solidFill>
              <a:latin typeface="Segoe UI"/>
              <a:cs typeface="Segoe UI"/>
            </a:rPr>
            <a:t>Treatment in report</a:t>
          </a:r>
        </a:p>
      </xdr:txBody>
    </xdr:sp>
    <xdr:clientData/>
  </xdr:twoCellAnchor>
  <xdr:twoCellAnchor editAs="absolute">
    <xdr:from>
      <xdr:col>14</xdr:col>
      <xdr:colOff>342900</xdr:colOff>
      <xdr:row>39</xdr:row>
      <xdr:rowOff>171450</xdr:rowOff>
    </xdr:from>
    <xdr:to>
      <xdr:col>23</xdr:col>
      <xdr:colOff>447675</xdr:colOff>
      <xdr:row>41</xdr:row>
      <xdr:rowOff>104775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00000000-0008-0000-0400-000064000000}"/>
            </a:ext>
          </a:extLst>
        </xdr:cNvPr>
        <xdr:cNvSpPr txBox="1"/>
      </xdr:nvSpPr>
      <xdr:spPr>
        <a:xfrm>
          <a:off x="8877300" y="7600950"/>
          <a:ext cx="5591175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1" i="0">
              <a:solidFill>
                <a:srgbClr val="6B7A74"/>
              </a:solidFill>
              <a:latin typeface="Segoe UI"/>
              <a:cs typeface="Segoe UI"/>
            </a:rPr>
            <a:t>Notes</a:t>
          </a:r>
        </a:p>
      </xdr:txBody>
    </xdr:sp>
    <xdr:clientData/>
  </xdr:twoCellAnchor>
  <xdr:twoCellAnchor editAs="absolute">
    <xdr:from>
      <xdr:col>0</xdr:col>
      <xdr:colOff>495300</xdr:colOff>
      <xdr:row>41</xdr:row>
      <xdr:rowOff>133350</xdr:rowOff>
    </xdr:from>
    <xdr:to>
      <xdr:col>5</xdr:col>
      <xdr:colOff>561975</xdr:colOff>
      <xdr:row>43</xdr:row>
      <xdr:rowOff>66675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0000000-0008-0000-0400-000065000000}"/>
            </a:ext>
          </a:extLst>
        </xdr:cNvPr>
        <xdr:cNvSpPr txBox="1"/>
      </xdr:nvSpPr>
      <xdr:spPr>
        <a:xfrm>
          <a:off x="495300" y="7943850"/>
          <a:ext cx="3114675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1" i="0">
              <a:solidFill>
                <a:srgbClr val="1E2A26"/>
              </a:solidFill>
              <a:latin typeface="Segoe UI"/>
              <a:cs typeface="Segoe UI"/>
            </a:rPr>
            <a:t>Coffee supply gap 1,214 t</a:t>
          </a:r>
        </a:p>
      </xdr:txBody>
    </xdr:sp>
    <xdr:clientData/>
  </xdr:twoCellAnchor>
  <xdr:twoCellAnchor editAs="absolute">
    <xdr:from>
      <xdr:col>5</xdr:col>
      <xdr:colOff>590550</xdr:colOff>
      <xdr:row>41</xdr:row>
      <xdr:rowOff>133350</xdr:rowOff>
    </xdr:from>
    <xdr:to>
      <xdr:col>8</xdr:col>
      <xdr:colOff>352425</xdr:colOff>
      <xdr:row>43</xdr:row>
      <xdr:rowOff>66675</xdr:rowOff>
    </xdr:to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0000000-0008-0000-0400-000066000000}"/>
            </a:ext>
          </a:extLst>
        </xdr:cNvPr>
        <xdr:cNvSpPr txBox="1"/>
      </xdr:nvSpPr>
      <xdr:spPr>
        <a:xfrm>
          <a:off x="3638550" y="7943850"/>
          <a:ext cx="1590675" cy="314325"/>
        </a:xfrm>
        <a:prstGeom prst="rect">
          <a:avLst/>
        </a:prstGeom>
        <a:solidFill>
          <a:srgbClr val="F3E2B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7A5A12"/>
              </a:solidFill>
              <a:latin typeface="Segoe UI"/>
              <a:cs typeface="Segoe UI"/>
            </a:rPr>
            <a:t>Author's calculation</a:t>
          </a:r>
        </a:p>
      </xdr:txBody>
    </xdr:sp>
    <xdr:clientData/>
  </xdr:twoCellAnchor>
  <xdr:twoCellAnchor editAs="absolute">
    <xdr:from>
      <xdr:col>8</xdr:col>
      <xdr:colOff>381000</xdr:colOff>
      <xdr:row>41</xdr:row>
      <xdr:rowOff>133350</xdr:rowOff>
    </xdr:from>
    <xdr:to>
      <xdr:col>14</xdr:col>
      <xdr:colOff>314325</xdr:colOff>
      <xdr:row>43</xdr:row>
      <xdr:rowOff>66675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00000000-0008-0000-0400-000067000000}"/>
            </a:ext>
          </a:extLst>
        </xdr:cNvPr>
        <xdr:cNvSpPr txBox="1"/>
      </xdr:nvSpPr>
      <xdr:spPr>
        <a:xfrm>
          <a:off x="5257800" y="7943850"/>
          <a:ext cx="3590925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0" i="0">
              <a:solidFill>
                <a:srgbClr val="1E2A26"/>
              </a:solidFill>
              <a:latin typeface="Segoe UI"/>
              <a:cs typeface="Segoe UI"/>
            </a:rPr>
            <a:t>Labelled as calculation in figure and Appendix C</a:t>
          </a:r>
        </a:p>
      </xdr:txBody>
    </xdr:sp>
    <xdr:clientData/>
  </xdr:twoCellAnchor>
  <xdr:twoCellAnchor editAs="absolute">
    <xdr:from>
      <xdr:col>14</xdr:col>
      <xdr:colOff>342900</xdr:colOff>
      <xdr:row>41</xdr:row>
      <xdr:rowOff>133350</xdr:rowOff>
    </xdr:from>
    <xdr:to>
      <xdr:col>23</xdr:col>
      <xdr:colOff>447675</xdr:colOff>
      <xdr:row>43</xdr:row>
      <xdr:rowOff>66675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SpPr txBox="1"/>
      </xdr:nvSpPr>
      <xdr:spPr>
        <a:xfrm>
          <a:off x="8877300" y="7943850"/>
          <a:ext cx="5591175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0" i="0">
              <a:solidFill>
                <a:srgbClr val="1E2A26"/>
              </a:solidFill>
              <a:latin typeface="Segoe UI"/>
              <a:cs typeface="Segoe UI"/>
            </a:rPr>
            <a:t>Derived from cited figures</a:t>
          </a:r>
        </a:p>
      </xdr:txBody>
    </xdr:sp>
    <xdr:clientData/>
  </xdr:twoCellAnchor>
  <xdr:twoCellAnchor editAs="absolute">
    <xdr:from>
      <xdr:col>0</xdr:col>
      <xdr:colOff>495300</xdr:colOff>
      <xdr:row>43</xdr:row>
      <xdr:rowOff>95250</xdr:rowOff>
    </xdr:from>
    <xdr:to>
      <xdr:col>5</xdr:col>
      <xdr:colOff>561975</xdr:colOff>
      <xdr:row>45</xdr:row>
      <xdr:rowOff>28575</xdr:rowOff>
    </xdr:to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0000000-0008-0000-0400-000069000000}"/>
            </a:ext>
          </a:extLst>
        </xdr:cNvPr>
        <xdr:cNvSpPr txBox="1"/>
      </xdr:nvSpPr>
      <xdr:spPr>
        <a:xfrm>
          <a:off x="495300" y="8286750"/>
          <a:ext cx="3114675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1" i="0">
              <a:solidFill>
                <a:srgbClr val="1E2A26"/>
              </a:solidFill>
              <a:latin typeface="Segoe UI"/>
              <a:cs typeface="Segoe UI"/>
            </a:rPr>
            <a:t>US$3.50 = 0.23% GDP per capita</a:t>
          </a:r>
        </a:p>
      </xdr:txBody>
    </xdr:sp>
    <xdr:clientData/>
  </xdr:twoCellAnchor>
  <xdr:twoCellAnchor editAs="absolute">
    <xdr:from>
      <xdr:col>5</xdr:col>
      <xdr:colOff>590550</xdr:colOff>
      <xdr:row>43</xdr:row>
      <xdr:rowOff>95250</xdr:rowOff>
    </xdr:from>
    <xdr:to>
      <xdr:col>8</xdr:col>
      <xdr:colOff>352425</xdr:colOff>
      <xdr:row>45</xdr:row>
      <xdr:rowOff>28575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00000000-0008-0000-0400-00006A000000}"/>
            </a:ext>
          </a:extLst>
        </xdr:cNvPr>
        <xdr:cNvSpPr txBox="1"/>
      </xdr:nvSpPr>
      <xdr:spPr>
        <a:xfrm>
          <a:off x="3638550" y="8286750"/>
          <a:ext cx="1590675" cy="314325"/>
        </a:xfrm>
        <a:prstGeom prst="rect">
          <a:avLst/>
        </a:prstGeom>
        <a:solidFill>
          <a:srgbClr val="F3E2B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7A5A12"/>
              </a:solidFill>
              <a:latin typeface="Segoe UI"/>
              <a:cs typeface="Segoe UI"/>
            </a:rPr>
            <a:t>Author's calculation</a:t>
          </a:r>
        </a:p>
      </xdr:txBody>
    </xdr:sp>
    <xdr:clientData/>
  </xdr:twoCellAnchor>
  <xdr:twoCellAnchor editAs="absolute">
    <xdr:from>
      <xdr:col>8</xdr:col>
      <xdr:colOff>381000</xdr:colOff>
      <xdr:row>43</xdr:row>
      <xdr:rowOff>95250</xdr:rowOff>
    </xdr:from>
    <xdr:to>
      <xdr:col>14</xdr:col>
      <xdr:colOff>314325</xdr:colOff>
      <xdr:row>45</xdr:row>
      <xdr:rowOff>28575</xdr:rowOff>
    </xdr:to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00000000-0008-0000-0400-00006B000000}"/>
            </a:ext>
          </a:extLst>
        </xdr:cNvPr>
        <xdr:cNvSpPr txBox="1"/>
      </xdr:nvSpPr>
      <xdr:spPr>
        <a:xfrm>
          <a:off x="5257800" y="8286750"/>
          <a:ext cx="3590925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0" i="0">
              <a:solidFill>
                <a:srgbClr val="1E2A26"/>
              </a:solidFill>
              <a:latin typeface="Segoe UI"/>
              <a:cs typeface="Segoe UI"/>
            </a:rPr>
            <a:t>Indicative affordability comparison only</a:t>
          </a:r>
        </a:p>
      </xdr:txBody>
    </xdr:sp>
    <xdr:clientData/>
  </xdr:twoCellAnchor>
  <xdr:twoCellAnchor editAs="absolute">
    <xdr:from>
      <xdr:col>14</xdr:col>
      <xdr:colOff>342900</xdr:colOff>
      <xdr:row>43</xdr:row>
      <xdr:rowOff>95250</xdr:rowOff>
    </xdr:from>
    <xdr:to>
      <xdr:col>23</xdr:col>
      <xdr:colOff>447675</xdr:colOff>
      <xdr:row>45</xdr:row>
      <xdr:rowOff>28575</xdr:rowOff>
    </xdr:to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0000000-0008-0000-0400-00006C000000}"/>
            </a:ext>
          </a:extLst>
        </xdr:cNvPr>
        <xdr:cNvSpPr txBox="1"/>
      </xdr:nvSpPr>
      <xdr:spPr>
        <a:xfrm>
          <a:off x="8877300" y="8286750"/>
          <a:ext cx="5591175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0" i="0">
              <a:solidFill>
                <a:srgbClr val="1E2A26"/>
              </a:solidFill>
              <a:latin typeface="Segoe UI"/>
              <a:cs typeface="Segoe UI"/>
            </a:rPr>
            <a:t>GDP per capita ≠ disposable income</a:t>
          </a:r>
        </a:p>
      </xdr:txBody>
    </xdr:sp>
    <xdr:clientData/>
  </xdr:twoCellAnchor>
  <xdr:twoCellAnchor editAs="absolute">
    <xdr:from>
      <xdr:col>0</xdr:col>
      <xdr:colOff>495300</xdr:colOff>
      <xdr:row>45</xdr:row>
      <xdr:rowOff>57150</xdr:rowOff>
    </xdr:from>
    <xdr:to>
      <xdr:col>5</xdr:col>
      <xdr:colOff>561975</xdr:colOff>
      <xdr:row>46</xdr:row>
      <xdr:rowOff>180975</xdr:rowOff>
    </xdr:to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0000000-0008-0000-0400-00006D000000}"/>
            </a:ext>
          </a:extLst>
        </xdr:cNvPr>
        <xdr:cNvSpPr txBox="1"/>
      </xdr:nvSpPr>
      <xdr:spPr>
        <a:xfrm>
          <a:off x="495300" y="8629650"/>
          <a:ext cx="3114675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1" i="0">
              <a:solidFill>
                <a:srgbClr val="1E2A26"/>
              </a:solidFill>
              <a:latin typeface="Segoe UI"/>
              <a:cs typeface="Segoe UI"/>
            </a:rPr>
            <a:t>Feb 2026 FDI expansion</a:t>
          </a:r>
        </a:p>
      </xdr:txBody>
    </xdr:sp>
    <xdr:clientData/>
  </xdr:twoCellAnchor>
  <xdr:twoCellAnchor editAs="absolute">
    <xdr:from>
      <xdr:col>5</xdr:col>
      <xdr:colOff>590550</xdr:colOff>
      <xdr:row>45</xdr:row>
      <xdr:rowOff>57150</xdr:rowOff>
    </xdr:from>
    <xdr:to>
      <xdr:col>8</xdr:col>
      <xdr:colOff>352425</xdr:colOff>
      <xdr:row>46</xdr:row>
      <xdr:rowOff>180975</xdr:rowOff>
    </xdr:to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00000000-0008-0000-0400-00006E000000}"/>
            </a:ext>
          </a:extLst>
        </xdr:cNvPr>
        <xdr:cNvSpPr txBox="1"/>
      </xdr:nvSpPr>
      <xdr:spPr>
        <a:xfrm>
          <a:off x="3638550" y="8629650"/>
          <a:ext cx="1590675" cy="314325"/>
        </a:xfrm>
        <a:prstGeom prst="rect">
          <a:avLst/>
        </a:prstGeom>
        <a:solidFill>
          <a:srgbClr val="F3E2B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7A5A12"/>
              </a:solidFill>
              <a:latin typeface="Segoe UI"/>
              <a:cs typeface="Segoe UI"/>
            </a:rPr>
            <a:t>Secondary source</a:t>
          </a:r>
        </a:p>
      </xdr:txBody>
    </xdr:sp>
    <xdr:clientData/>
  </xdr:twoCellAnchor>
  <xdr:twoCellAnchor editAs="absolute">
    <xdr:from>
      <xdr:col>8</xdr:col>
      <xdr:colOff>381000</xdr:colOff>
      <xdr:row>45</xdr:row>
      <xdr:rowOff>57150</xdr:rowOff>
    </xdr:from>
    <xdr:to>
      <xdr:col>14</xdr:col>
      <xdr:colOff>314325</xdr:colOff>
      <xdr:row>46</xdr:row>
      <xdr:rowOff>180975</xdr:rowOff>
    </xdr:to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00000000-0008-0000-0400-00006F000000}"/>
            </a:ext>
          </a:extLst>
        </xdr:cNvPr>
        <xdr:cNvSpPr txBox="1"/>
      </xdr:nvSpPr>
      <xdr:spPr>
        <a:xfrm>
          <a:off x="5257800" y="8629650"/>
          <a:ext cx="3590925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0" i="0">
              <a:solidFill>
                <a:srgbClr val="1E2A26"/>
              </a:solidFill>
              <a:latin typeface="Segoe UI"/>
              <a:cs typeface="Segoe UI"/>
            </a:rPr>
            <a:t>Disclosed in Appendix C</a:t>
          </a:r>
        </a:p>
      </xdr:txBody>
    </xdr:sp>
    <xdr:clientData/>
  </xdr:twoCellAnchor>
  <xdr:twoCellAnchor editAs="absolute">
    <xdr:from>
      <xdr:col>14</xdr:col>
      <xdr:colOff>342900</xdr:colOff>
      <xdr:row>45</xdr:row>
      <xdr:rowOff>57150</xdr:rowOff>
    </xdr:from>
    <xdr:to>
      <xdr:col>23</xdr:col>
      <xdr:colOff>447675</xdr:colOff>
      <xdr:row>46</xdr:row>
      <xdr:rowOff>180975</xdr:rowOff>
    </xdr:to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00000000-0008-0000-0400-000070000000}"/>
            </a:ext>
          </a:extLst>
        </xdr:cNvPr>
        <xdr:cNvSpPr txBox="1"/>
      </xdr:nvSpPr>
      <xdr:spPr>
        <a:xfrm>
          <a:off x="8877300" y="8629650"/>
          <a:ext cx="5591175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0" i="0">
              <a:solidFill>
                <a:srgbClr val="1E2A26"/>
              </a:solidFill>
              <a:latin typeface="Segoe UI"/>
              <a:cs typeface="Segoe UI"/>
            </a:rPr>
            <a:t>Gazette notification via legal commentary; primary text not accessed</a:t>
          </a:r>
        </a:p>
      </xdr:txBody>
    </xdr:sp>
    <xdr:clientData/>
  </xdr:twoCellAnchor>
  <xdr:twoCellAnchor editAs="absolute">
    <xdr:from>
      <xdr:col>0</xdr:col>
      <xdr:colOff>495300</xdr:colOff>
      <xdr:row>47</xdr:row>
      <xdr:rowOff>19050</xdr:rowOff>
    </xdr:from>
    <xdr:to>
      <xdr:col>5</xdr:col>
      <xdr:colOff>561975</xdr:colOff>
      <xdr:row>48</xdr:row>
      <xdr:rowOff>142875</xdr:rowOff>
    </xdr:to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0000000-0008-0000-0400-000071000000}"/>
            </a:ext>
          </a:extLst>
        </xdr:cNvPr>
        <xdr:cNvSpPr txBox="1"/>
      </xdr:nvSpPr>
      <xdr:spPr>
        <a:xfrm>
          <a:off x="495300" y="8972550"/>
          <a:ext cx="3114675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1" i="0">
              <a:solidFill>
                <a:srgbClr val="1E2A26"/>
              </a:solidFill>
              <a:latin typeface="Segoe UI"/>
              <a:cs typeface="Segoe UI"/>
            </a:rPr>
            <a:t>Hofstede LTO &amp; Indulgence (Nepal)</a:t>
          </a:r>
        </a:p>
      </xdr:txBody>
    </xdr:sp>
    <xdr:clientData/>
  </xdr:twoCellAnchor>
  <xdr:twoCellAnchor editAs="absolute">
    <xdr:from>
      <xdr:col>5</xdr:col>
      <xdr:colOff>590550</xdr:colOff>
      <xdr:row>47</xdr:row>
      <xdr:rowOff>19050</xdr:rowOff>
    </xdr:from>
    <xdr:to>
      <xdr:col>8</xdr:col>
      <xdr:colOff>352425</xdr:colOff>
      <xdr:row>48</xdr:row>
      <xdr:rowOff>142875</xdr:rowOff>
    </xdr:to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00000000-0008-0000-0400-000072000000}"/>
            </a:ext>
          </a:extLst>
        </xdr:cNvPr>
        <xdr:cNvSpPr txBox="1"/>
      </xdr:nvSpPr>
      <xdr:spPr>
        <a:xfrm>
          <a:off x="3638550" y="8972550"/>
          <a:ext cx="1590675" cy="314325"/>
        </a:xfrm>
        <a:prstGeom prst="rect">
          <a:avLst/>
        </a:prstGeom>
        <a:solidFill>
          <a:srgbClr val="F3E2B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7A5A12"/>
              </a:solidFill>
              <a:latin typeface="Segoe UI"/>
              <a:cs typeface="Segoe UI"/>
            </a:rPr>
            <a:t>Unavailable</a:t>
          </a:r>
        </a:p>
      </xdr:txBody>
    </xdr:sp>
    <xdr:clientData/>
  </xdr:twoCellAnchor>
  <xdr:twoCellAnchor editAs="absolute">
    <xdr:from>
      <xdr:col>8</xdr:col>
      <xdr:colOff>381000</xdr:colOff>
      <xdr:row>47</xdr:row>
      <xdr:rowOff>19050</xdr:rowOff>
    </xdr:from>
    <xdr:to>
      <xdr:col>14</xdr:col>
      <xdr:colOff>314325</xdr:colOff>
      <xdr:row>48</xdr:row>
      <xdr:rowOff>142875</xdr:rowOff>
    </xdr:to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00000000-0008-0000-0400-000073000000}"/>
            </a:ext>
          </a:extLst>
        </xdr:cNvPr>
        <xdr:cNvSpPr txBox="1"/>
      </xdr:nvSpPr>
      <xdr:spPr>
        <a:xfrm>
          <a:off x="5257800" y="8972550"/>
          <a:ext cx="3590925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0" i="0">
              <a:solidFill>
                <a:srgbClr val="1E2A26"/>
              </a:solidFill>
              <a:latin typeface="Segoe UI"/>
              <a:cs typeface="Segoe UI"/>
            </a:rPr>
            <a:t>Excluded rather than estimated</a:t>
          </a:r>
        </a:p>
      </xdr:txBody>
    </xdr:sp>
    <xdr:clientData/>
  </xdr:twoCellAnchor>
  <xdr:twoCellAnchor editAs="absolute">
    <xdr:from>
      <xdr:col>14</xdr:col>
      <xdr:colOff>342900</xdr:colOff>
      <xdr:row>47</xdr:row>
      <xdr:rowOff>19050</xdr:rowOff>
    </xdr:from>
    <xdr:to>
      <xdr:col>23</xdr:col>
      <xdr:colOff>447675</xdr:colOff>
      <xdr:row>48</xdr:row>
      <xdr:rowOff>142875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00000000-0008-0000-0400-000074000000}"/>
            </a:ext>
          </a:extLst>
        </xdr:cNvPr>
        <xdr:cNvSpPr txBox="1"/>
      </xdr:nvSpPr>
      <xdr:spPr>
        <a:xfrm>
          <a:off x="8877300" y="8972550"/>
          <a:ext cx="5591175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0" i="0">
              <a:solidFill>
                <a:srgbClr val="1E2A26"/>
              </a:solidFill>
              <a:latin typeface="Segoe UI"/>
              <a:cs typeface="Segoe UI"/>
            </a:rPr>
            <a:t>No published score</a:t>
          </a:r>
        </a:p>
      </xdr:txBody>
    </xdr:sp>
    <xdr:clientData/>
  </xdr:twoCellAnchor>
  <xdr:twoCellAnchor editAs="absolute">
    <xdr:from>
      <xdr:col>0</xdr:col>
      <xdr:colOff>495300</xdr:colOff>
      <xdr:row>48</xdr:row>
      <xdr:rowOff>171450</xdr:rowOff>
    </xdr:from>
    <xdr:to>
      <xdr:col>5</xdr:col>
      <xdr:colOff>561975</xdr:colOff>
      <xdr:row>50</xdr:row>
      <xdr:rowOff>104775</xdr:rowOff>
    </xdr:to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00000000-0008-0000-0400-000075000000}"/>
            </a:ext>
          </a:extLst>
        </xdr:cNvPr>
        <xdr:cNvSpPr txBox="1"/>
      </xdr:nvSpPr>
      <xdr:spPr>
        <a:xfrm>
          <a:off x="495300" y="9315450"/>
          <a:ext cx="3114675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1" i="0">
              <a:solidFill>
                <a:srgbClr val="1E2A26"/>
              </a:solidFill>
              <a:latin typeface="Segoe UI"/>
              <a:cs typeface="Segoe UI"/>
            </a:rPr>
            <a:t>Starbucks Australia A$105m</a:t>
          </a:r>
        </a:p>
      </xdr:txBody>
    </xdr:sp>
    <xdr:clientData/>
  </xdr:twoCellAnchor>
  <xdr:twoCellAnchor editAs="absolute">
    <xdr:from>
      <xdr:col>5</xdr:col>
      <xdr:colOff>590550</xdr:colOff>
      <xdr:row>48</xdr:row>
      <xdr:rowOff>171450</xdr:rowOff>
    </xdr:from>
    <xdr:to>
      <xdr:col>8</xdr:col>
      <xdr:colOff>352425</xdr:colOff>
      <xdr:row>50</xdr:row>
      <xdr:rowOff>104775</xdr:rowOff>
    </xdr:to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0000000-0008-0000-0400-000076000000}"/>
            </a:ext>
          </a:extLst>
        </xdr:cNvPr>
        <xdr:cNvSpPr txBox="1"/>
      </xdr:nvSpPr>
      <xdr:spPr>
        <a:xfrm>
          <a:off x="3638550" y="9315450"/>
          <a:ext cx="1590675" cy="314325"/>
        </a:xfrm>
        <a:prstGeom prst="rect">
          <a:avLst/>
        </a:prstGeom>
        <a:solidFill>
          <a:srgbClr val="F0D0C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8A3524"/>
              </a:solidFill>
              <a:latin typeface="Segoe UI"/>
              <a:cs typeface="Segoe UI"/>
            </a:rPr>
            <a:t>Removed</a:t>
          </a:r>
        </a:p>
      </xdr:txBody>
    </xdr:sp>
    <xdr:clientData/>
  </xdr:twoCellAnchor>
  <xdr:twoCellAnchor editAs="absolute">
    <xdr:from>
      <xdr:col>8</xdr:col>
      <xdr:colOff>381000</xdr:colOff>
      <xdr:row>48</xdr:row>
      <xdr:rowOff>171450</xdr:rowOff>
    </xdr:from>
    <xdr:to>
      <xdr:col>14</xdr:col>
      <xdr:colOff>314325</xdr:colOff>
      <xdr:row>50</xdr:row>
      <xdr:rowOff>104775</xdr:rowOff>
    </xdr:to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00000000-0008-0000-0400-000077000000}"/>
            </a:ext>
          </a:extLst>
        </xdr:cNvPr>
        <xdr:cNvSpPr txBox="1"/>
      </xdr:nvSpPr>
      <xdr:spPr>
        <a:xfrm>
          <a:off x="5257800" y="9315450"/>
          <a:ext cx="3590925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0" i="0">
              <a:solidFill>
                <a:srgbClr val="1E2A26"/>
              </a:solidFill>
              <a:latin typeface="Segoe UI"/>
              <a:cs typeface="Segoe UI"/>
            </a:rPr>
            <a:t>Disclosed in Appendix C</a:t>
          </a:r>
        </a:p>
      </xdr:txBody>
    </xdr:sp>
    <xdr:clientData/>
  </xdr:twoCellAnchor>
  <xdr:twoCellAnchor editAs="absolute">
    <xdr:from>
      <xdr:col>14</xdr:col>
      <xdr:colOff>342900</xdr:colOff>
      <xdr:row>48</xdr:row>
      <xdr:rowOff>171450</xdr:rowOff>
    </xdr:from>
    <xdr:to>
      <xdr:col>23</xdr:col>
      <xdr:colOff>447675</xdr:colOff>
      <xdr:row>50</xdr:row>
      <xdr:rowOff>104775</xdr:rowOff>
    </xdr:to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00000000-0008-0000-0400-000078000000}"/>
            </a:ext>
          </a:extLst>
        </xdr:cNvPr>
        <xdr:cNvSpPr txBox="1"/>
      </xdr:nvSpPr>
      <xdr:spPr>
        <a:xfrm>
          <a:off x="8877300" y="9315450"/>
          <a:ext cx="5591175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0" i="0">
              <a:solidFill>
                <a:srgbClr val="1E2A26"/>
              </a:solidFill>
              <a:latin typeface="Segoe UI"/>
              <a:cs typeface="Segoe UI"/>
            </a:rPr>
            <a:t>Currency not independently verified</a:t>
          </a:r>
        </a:p>
      </xdr:txBody>
    </xdr:sp>
    <xdr:clientData/>
  </xdr:twoCellAnchor>
  <xdr:twoCellAnchor editAs="absolute">
    <xdr:from>
      <xdr:col>0</xdr:col>
      <xdr:colOff>495300</xdr:colOff>
      <xdr:row>50</xdr:row>
      <xdr:rowOff>133350</xdr:rowOff>
    </xdr:from>
    <xdr:to>
      <xdr:col>5</xdr:col>
      <xdr:colOff>561975</xdr:colOff>
      <xdr:row>52</xdr:row>
      <xdr:rowOff>66675</xdr:rowOff>
    </xdr:to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00000000-0008-0000-0400-000079000000}"/>
            </a:ext>
          </a:extLst>
        </xdr:cNvPr>
        <xdr:cNvSpPr txBox="1"/>
      </xdr:nvSpPr>
      <xdr:spPr>
        <a:xfrm>
          <a:off x="495300" y="9658350"/>
          <a:ext cx="3114675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1" i="0">
              <a:solidFill>
                <a:srgbClr val="1E2A26"/>
              </a:solidFill>
              <a:latin typeface="Segoe UI"/>
              <a:cs typeface="Segoe UI"/>
            </a:rPr>
            <a:t>ACT 2 Starbucks Case.md</a:t>
          </a:r>
        </a:p>
      </xdr:txBody>
    </xdr:sp>
    <xdr:clientData/>
  </xdr:twoCellAnchor>
  <xdr:twoCellAnchor editAs="absolute">
    <xdr:from>
      <xdr:col>5</xdr:col>
      <xdr:colOff>590550</xdr:colOff>
      <xdr:row>50</xdr:row>
      <xdr:rowOff>133350</xdr:rowOff>
    </xdr:from>
    <xdr:to>
      <xdr:col>8</xdr:col>
      <xdr:colOff>352425</xdr:colOff>
      <xdr:row>52</xdr:row>
      <xdr:rowOff>66675</xdr:rowOff>
    </xdr:to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00000000-0008-0000-0400-00007A000000}"/>
            </a:ext>
          </a:extLst>
        </xdr:cNvPr>
        <xdr:cNvSpPr txBox="1"/>
      </xdr:nvSpPr>
      <xdr:spPr>
        <a:xfrm>
          <a:off x="3638550" y="9658350"/>
          <a:ext cx="1590675" cy="314325"/>
        </a:xfrm>
        <a:prstGeom prst="rect">
          <a:avLst/>
        </a:prstGeom>
        <a:solidFill>
          <a:srgbClr val="F0D0C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8A3524"/>
              </a:solidFill>
              <a:latin typeface="Segoe UI"/>
              <a:cs typeface="Segoe UI"/>
            </a:rPr>
            <a:t>Removed</a:t>
          </a:r>
        </a:p>
      </xdr:txBody>
    </xdr:sp>
    <xdr:clientData/>
  </xdr:twoCellAnchor>
  <xdr:twoCellAnchor editAs="absolute">
    <xdr:from>
      <xdr:col>8</xdr:col>
      <xdr:colOff>381000</xdr:colOff>
      <xdr:row>50</xdr:row>
      <xdr:rowOff>133350</xdr:rowOff>
    </xdr:from>
    <xdr:to>
      <xdr:col>14</xdr:col>
      <xdr:colOff>314325</xdr:colOff>
      <xdr:row>52</xdr:row>
      <xdr:rowOff>66675</xdr:rowOff>
    </xdr:to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00000000-0008-0000-0400-00007B000000}"/>
            </a:ext>
          </a:extLst>
        </xdr:cNvPr>
        <xdr:cNvSpPr txBox="1"/>
      </xdr:nvSpPr>
      <xdr:spPr>
        <a:xfrm>
          <a:off x="5257800" y="9658350"/>
          <a:ext cx="3590925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0" i="0">
              <a:solidFill>
                <a:srgbClr val="1E2A26"/>
              </a:solidFill>
              <a:latin typeface="Segoe UI"/>
              <a:cs typeface="Segoe UI"/>
            </a:rPr>
            <a:t>Not cited anywhere</a:t>
          </a:r>
        </a:p>
      </xdr:txBody>
    </xdr:sp>
    <xdr:clientData/>
  </xdr:twoCellAnchor>
  <xdr:twoCellAnchor editAs="absolute">
    <xdr:from>
      <xdr:col>14</xdr:col>
      <xdr:colOff>342900</xdr:colOff>
      <xdr:row>50</xdr:row>
      <xdr:rowOff>133350</xdr:rowOff>
    </xdr:from>
    <xdr:to>
      <xdr:col>23</xdr:col>
      <xdr:colOff>447675</xdr:colOff>
      <xdr:row>52</xdr:row>
      <xdr:rowOff>66675</xdr:rowOff>
    </xdr:to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00000000-0008-0000-0400-00007C000000}"/>
            </a:ext>
          </a:extLst>
        </xdr:cNvPr>
        <xdr:cNvSpPr txBox="1"/>
      </xdr:nvSpPr>
      <xdr:spPr>
        <a:xfrm>
          <a:off x="8877300" y="9658350"/>
          <a:ext cx="5591175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0" i="0">
              <a:solidFill>
                <a:srgbClr val="1E2A26"/>
              </a:solidFill>
              <a:latin typeface="Segoe UI"/>
              <a:cs typeface="Segoe UI"/>
            </a:rPr>
            <a:t>Internal file, not academic source</a:t>
          </a:r>
        </a:p>
      </xdr:txBody>
    </xdr:sp>
    <xdr:clientData/>
  </xdr:twoCellAnchor>
  <xdr:twoCellAnchor editAs="absolute">
    <xdr:from>
      <xdr:col>0</xdr:col>
      <xdr:colOff>495300</xdr:colOff>
      <xdr:row>52</xdr:row>
      <xdr:rowOff>95250</xdr:rowOff>
    </xdr:from>
    <xdr:to>
      <xdr:col>5</xdr:col>
      <xdr:colOff>561975</xdr:colOff>
      <xdr:row>54</xdr:row>
      <xdr:rowOff>28575</xdr:rowOff>
    </xdr:to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00000000-0008-0000-0400-00007D000000}"/>
            </a:ext>
          </a:extLst>
        </xdr:cNvPr>
        <xdr:cNvSpPr txBox="1"/>
      </xdr:nvSpPr>
      <xdr:spPr>
        <a:xfrm>
          <a:off x="495300" y="10001250"/>
          <a:ext cx="3114675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1" i="0">
              <a:solidFill>
                <a:srgbClr val="1E2A26"/>
              </a:solidFill>
              <a:latin typeface="Segoe UI"/>
              <a:cs typeface="Segoe UI"/>
            </a:rPr>
            <a:t>Israel claim</a:t>
          </a:r>
        </a:p>
      </xdr:txBody>
    </xdr:sp>
    <xdr:clientData/>
  </xdr:twoCellAnchor>
  <xdr:twoCellAnchor editAs="absolute">
    <xdr:from>
      <xdr:col>5</xdr:col>
      <xdr:colOff>590550</xdr:colOff>
      <xdr:row>52</xdr:row>
      <xdr:rowOff>95250</xdr:rowOff>
    </xdr:from>
    <xdr:to>
      <xdr:col>8</xdr:col>
      <xdr:colOff>352425</xdr:colOff>
      <xdr:row>54</xdr:row>
      <xdr:rowOff>28575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00000000-0008-0000-0400-00007E000000}"/>
            </a:ext>
          </a:extLst>
        </xdr:cNvPr>
        <xdr:cNvSpPr txBox="1"/>
      </xdr:nvSpPr>
      <xdr:spPr>
        <a:xfrm>
          <a:off x="3638550" y="10001250"/>
          <a:ext cx="1590675" cy="314325"/>
        </a:xfrm>
        <a:prstGeom prst="rect">
          <a:avLst/>
        </a:prstGeom>
        <a:solidFill>
          <a:srgbClr val="F0D0C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 i="0">
              <a:solidFill>
                <a:srgbClr val="8A3524"/>
              </a:solidFill>
              <a:latin typeface="Segoe UI"/>
              <a:cs typeface="Segoe UI"/>
            </a:rPr>
            <a:t>Removed</a:t>
          </a:r>
        </a:p>
      </xdr:txBody>
    </xdr:sp>
    <xdr:clientData/>
  </xdr:twoCellAnchor>
  <xdr:twoCellAnchor editAs="absolute">
    <xdr:from>
      <xdr:col>8</xdr:col>
      <xdr:colOff>381000</xdr:colOff>
      <xdr:row>52</xdr:row>
      <xdr:rowOff>95250</xdr:rowOff>
    </xdr:from>
    <xdr:to>
      <xdr:col>14</xdr:col>
      <xdr:colOff>314325</xdr:colOff>
      <xdr:row>54</xdr:row>
      <xdr:rowOff>28575</xdr:rowOff>
    </xdr:to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00000000-0008-0000-0400-00007F000000}"/>
            </a:ext>
          </a:extLst>
        </xdr:cNvPr>
        <xdr:cNvSpPr txBox="1"/>
      </xdr:nvSpPr>
      <xdr:spPr>
        <a:xfrm>
          <a:off x="5257800" y="10001250"/>
          <a:ext cx="3590925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0" i="0">
              <a:solidFill>
                <a:srgbClr val="1E2A26"/>
              </a:solidFill>
              <a:latin typeface="Segoe UI"/>
              <a:cs typeface="Segoe UI"/>
            </a:rPr>
            <a:t>Not present</a:t>
          </a:r>
        </a:p>
      </xdr:txBody>
    </xdr:sp>
    <xdr:clientData/>
  </xdr:twoCellAnchor>
  <xdr:twoCellAnchor editAs="absolute">
    <xdr:from>
      <xdr:col>14</xdr:col>
      <xdr:colOff>342900</xdr:colOff>
      <xdr:row>52</xdr:row>
      <xdr:rowOff>95250</xdr:rowOff>
    </xdr:from>
    <xdr:to>
      <xdr:col>23</xdr:col>
      <xdr:colOff>447675</xdr:colOff>
      <xdr:row>54</xdr:row>
      <xdr:rowOff>28575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00000000-0008-0000-0400-000080000000}"/>
            </a:ext>
          </a:extLst>
        </xdr:cNvPr>
        <xdr:cNvSpPr txBox="1"/>
      </xdr:nvSpPr>
      <xdr:spPr>
        <a:xfrm>
          <a:off x="8877300" y="10001250"/>
          <a:ext cx="5591175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900" b="0" i="0">
              <a:solidFill>
                <a:srgbClr val="1E2A26"/>
              </a:solidFill>
              <a:latin typeface="Segoe UI"/>
              <a:cs typeface="Segoe UI"/>
            </a:rPr>
            <a:t>No credible source found</a:t>
          </a:r>
        </a:p>
      </xdr:txBody>
    </xdr:sp>
    <xdr:clientData/>
  </xdr:twoCellAnchor>
  <xdr:twoCellAnchor editAs="absolute">
    <xdr:from>
      <xdr:col>0</xdr:col>
      <xdr:colOff>342900</xdr:colOff>
      <xdr:row>55</xdr:row>
      <xdr:rowOff>57150</xdr:rowOff>
    </xdr:from>
    <xdr:to>
      <xdr:col>24</xdr:col>
      <xdr:colOff>266700</xdr:colOff>
      <xdr:row>58</xdr:row>
      <xdr:rowOff>152400</xdr:rowOff>
    </xdr:to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0000000-0008-0000-0400-000081000000}"/>
            </a:ext>
          </a:extLst>
        </xdr:cNvPr>
        <xdr:cNvSpPr txBox="1"/>
      </xdr:nvSpPr>
      <xdr:spPr>
        <a:xfrm>
          <a:off x="342900" y="10534650"/>
          <a:ext cx="14554200" cy="666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900" b="0" i="1">
              <a:solidFill>
                <a:srgbClr val="6B7A74"/>
              </a:solidFill>
              <a:latin typeface="Segoe UI"/>
              <a:cs typeface="Segoe UI"/>
            </a:rPr>
            <a:t>All 15 in-text citations mapped to reference list entries. No orphan references. No ACT 2 Starbucks Case.md. No Israel claim. Australia A$105m removed.   No derived figure is presented as though a source reported it. No invented URLs or references.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O59"/>
  <sheetViews>
    <sheetView showGridLines="0" zoomScale="41" workbookViewId="0"/>
  </sheetViews>
  <sheetFormatPr defaultColWidth="0" defaultRowHeight="14.5" zeroHeight="1" x14ac:dyDescent="0.35"/>
  <cols>
    <col min="1" max="25" width="9.1796875" style="1" customWidth="1"/>
    <col min="26" max="41" width="9.1796875" style="1" hidden="1" customWidth="1"/>
    <col min="42" max="16384" width="8.7265625" hidden="1"/>
  </cols>
  <sheetData>
    <row r="1" x14ac:dyDescent="0.35"/>
    <row r="2" x14ac:dyDescent="0.35"/>
    <row r="3" x14ac:dyDescent="0.35"/>
    <row r="4" x14ac:dyDescent="0.35"/>
    <row r="5" x14ac:dyDescent="0.35"/>
    <row r="6" x14ac:dyDescent="0.35"/>
    <row r="7" x14ac:dyDescent="0.35"/>
    <row r="8" x14ac:dyDescent="0.35"/>
    <row r="9" x14ac:dyDescent="0.35"/>
    <row r="10" x14ac:dyDescent="0.35"/>
    <row r="11" x14ac:dyDescent="0.35"/>
    <row r="12" x14ac:dyDescent="0.35"/>
    <row r="13" x14ac:dyDescent="0.35"/>
    <row r="14" x14ac:dyDescent="0.35"/>
    <row r="15" x14ac:dyDescent="0.35"/>
    <row r="16" x14ac:dyDescent="0.35"/>
    <row r="17" x14ac:dyDescent="0.35"/>
    <row r="18" x14ac:dyDescent="0.35"/>
    <row r="19" x14ac:dyDescent="0.35"/>
    <row r="20" x14ac:dyDescent="0.35"/>
    <row r="21" x14ac:dyDescent="0.35"/>
    <row r="22" x14ac:dyDescent="0.35"/>
    <row r="23" x14ac:dyDescent="0.35"/>
    <row r="24" x14ac:dyDescent="0.35"/>
    <row r="25" x14ac:dyDescent="0.35"/>
    <row r="26" x14ac:dyDescent="0.35"/>
    <row r="27" x14ac:dyDescent="0.35"/>
    <row r="28" x14ac:dyDescent="0.35"/>
    <row r="29" x14ac:dyDescent="0.35"/>
    <row r="30" x14ac:dyDescent="0.35"/>
    <row r="31" x14ac:dyDescent="0.35"/>
    <row r="32" x14ac:dyDescent="0.35"/>
    <row r="33" x14ac:dyDescent="0.35"/>
    <row r="34" x14ac:dyDescent="0.35"/>
    <row r="35" x14ac:dyDescent="0.35"/>
    <row r="36" x14ac:dyDescent="0.35"/>
    <row r="37" x14ac:dyDescent="0.35"/>
    <row r="38" x14ac:dyDescent="0.35"/>
    <row r="39" x14ac:dyDescent="0.35"/>
    <row r="40" x14ac:dyDescent="0.35"/>
    <row r="41" x14ac:dyDescent="0.35"/>
    <row r="42" x14ac:dyDescent="0.35"/>
    <row r="43" x14ac:dyDescent="0.35"/>
    <row r="44" x14ac:dyDescent="0.35"/>
    <row r="45" x14ac:dyDescent="0.35"/>
    <row r="46" x14ac:dyDescent="0.35"/>
    <row r="47" x14ac:dyDescent="0.35"/>
    <row r="48" x14ac:dyDescent="0.35"/>
    <row r="49" x14ac:dyDescent="0.35"/>
    <row r="50" x14ac:dyDescent="0.35"/>
    <row r="51" x14ac:dyDescent="0.35"/>
    <row r="52" x14ac:dyDescent="0.35"/>
    <row r="53" x14ac:dyDescent="0.35"/>
    <row r="54" x14ac:dyDescent="0.35"/>
    <row r="55" x14ac:dyDescent="0.35"/>
    <row r="56" x14ac:dyDescent="0.35"/>
    <row r="57" x14ac:dyDescent="0.35"/>
    <row r="58" x14ac:dyDescent="0.35"/>
    <row r="59" x14ac:dyDescent="0.35"/>
  </sheetData>
  <pageMargins left="0.2" right="0.2" top="0.2" bottom="0.2" header="0.3" footer="0.3"/>
  <pageSetup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O59"/>
  <sheetViews>
    <sheetView showGridLines="0" zoomScale="41" zoomScaleNormal="41" workbookViewId="0"/>
  </sheetViews>
  <sheetFormatPr defaultColWidth="0" defaultRowHeight="14.5" zeroHeight="1" x14ac:dyDescent="0.35"/>
  <cols>
    <col min="1" max="25" width="9.1796875" style="1" customWidth="1"/>
    <col min="26" max="41" width="9.1796875" style="1" hidden="1"/>
    <col min="42" max="16384" width="8.7265625" hidden="1"/>
  </cols>
  <sheetData>
    <row r="1" x14ac:dyDescent="0.35"/>
    <row r="2" x14ac:dyDescent="0.35"/>
    <row r="3" x14ac:dyDescent="0.35"/>
    <row r="4" x14ac:dyDescent="0.35"/>
    <row r="5" x14ac:dyDescent="0.35"/>
    <row r="6" x14ac:dyDescent="0.35"/>
    <row r="7" x14ac:dyDescent="0.35"/>
    <row r="8" x14ac:dyDescent="0.35"/>
    <row r="9" x14ac:dyDescent="0.35"/>
    <row r="10" x14ac:dyDescent="0.35"/>
    <row r="11" x14ac:dyDescent="0.35"/>
    <row r="12" x14ac:dyDescent="0.35"/>
    <row r="13" x14ac:dyDescent="0.35"/>
    <row r="14" x14ac:dyDescent="0.35"/>
    <row r="15" x14ac:dyDescent="0.35"/>
    <row r="16" x14ac:dyDescent="0.35"/>
    <row r="17" x14ac:dyDescent="0.35"/>
    <row r="18" x14ac:dyDescent="0.35"/>
    <row r="19" x14ac:dyDescent="0.35"/>
    <row r="20" x14ac:dyDescent="0.35"/>
    <row r="21" x14ac:dyDescent="0.35"/>
    <row r="22" x14ac:dyDescent="0.35"/>
    <row r="23" x14ac:dyDescent="0.35"/>
    <row r="24" x14ac:dyDescent="0.35"/>
    <row r="25" x14ac:dyDescent="0.35"/>
    <row r="26" x14ac:dyDescent="0.35"/>
    <row r="27" x14ac:dyDescent="0.35"/>
    <row r="28" x14ac:dyDescent="0.35"/>
    <row r="29" x14ac:dyDescent="0.35"/>
    <row r="30" x14ac:dyDescent="0.35"/>
    <row r="31" x14ac:dyDescent="0.35"/>
    <row r="32" x14ac:dyDescent="0.35"/>
    <row r="33" x14ac:dyDescent="0.35"/>
    <row r="34" x14ac:dyDescent="0.35"/>
    <row r="35" x14ac:dyDescent="0.35"/>
    <row r="36" x14ac:dyDescent="0.35"/>
    <row r="37" x14ac:dyDescent="0.35"/>
    <row r="38" x14ac:dyDescent="0.35"/>
    <row r="39" x14ac:dyDescent="0.35"/>
    <row r="40" x14ac:dyDescent="0.35"/>
    <row r="41" x14ac:dyDescent="0.35"/>
    <row r="42" x14ac:dyDescent="0.35"/>
    <row r="43" x14ac:dyDescent="0.35"/>
    <row r="44" x14ac:dyDescent="0.35"/>
    <row r="45" x14ac:dyDescent="0.35"/>
    <row r="46" x14ac:dyDescent="0.35"/>
    <row r="47" x14ac:dyDescent="0.35"/>
    <row r="48" x14ac:dyDescent="0.35"/>
    <row r="49" x14ac:dyDescent="0.35"/>
    <row r="50" x14ac:dyDescent="0.35"/>
    <row r="51" x14ac:dyDescent="0.35"/>
    <row r="52" x14ac:dyDescent="0.35"/>
    <row r="53" x14ac:dyDescent="0.35"/>
    <row r="54" x14ac:dyDescent="0.35"/>
    <row r="55" x14ac:dyDescent="0.35"/>
    <row r="56" x14ac:dyDescent="0.35"/>
    <row r="57" x14ac:dyDescent="0.35"/>
    <row r="58" x14ac:dyDescent="0.35"/>
    <row r="59" x14ac:dyDescent="0.35"/>
  </sheetData>
  <pageMargins left="0.2" right="0.2" top="0.2" bottom="0.2" header="0.3" footer="0.3"/>
  <pageSetup paperSize="8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O59"/>
  <sheetViews>
    <sheetView showGridLines="0" zoomScale="42" zoomScaleNormal="41" workbookViewId="0"/>
  </sheetViews>
  <sheetFormatPr defaultColWidth="0" defaultRowHeight="14.5" zeroHeight="1" x14ac:dyDescent="0.35"/>
  <cols>
    <col min="1" max="25" width="9.1796875" style="1" customWidth="1"/>
    <col min="26" max="41" width="9.1796875" style="1" hidden="1" customWidth="1"/>
    <col min="42" max="16384" width="8.7265625" hidden="1"/>
  </cols>
  <sheetData>
    <row r="1" x14ac:dyDescent="0.35"/>
    <row r="2" x14ac:dyDescent="0.35"/>
    <row r="3" x14ac:dyDescent="0.35"/>
    <row r="4" x14ac:dyDescent="0.35"/>
    <row r="5" x14ac:dyDescent="0.35"/>
    <row r="6" x14ac:dyDescent="0.35"/>
    <row r="7" x14ac:dyDescent="0.35"/>
    <row r="8" x14ac:dyDescent="0.35"/>
    <row r="9" x14ac:dyDescent="0.35"/>
    <row r="10" x14ac:dyDescent="0.35"/>
    <row r="11" x14ac:dyDescent="0.35"/>
    <row r="12" x14ac:dyDescent="0.35"/>
    <row r="13" x14ac:dyDescent="0.35"/>
    <row r="14" x14ac:dyDescent="0.35"/>
    <row r="15" x14ac:dyDescent="0.35"/>
    <row r="16" x14ac:dyDescent="0.35"/>
    <row r="17" x14ac:dyDescent="0.35"/>
    <row r="18" x14ac:dyDescent="0.35"/>
    <row r="19" x14ac:dyDescent="0.35"/>
    <row r="20" x14ac:dyDescent="0.35"/>
    <row r="21" x14ac:dyDescent="0.35"/>
    <row r="22" x14ac:dyDescent="0.35"/>
    <row r="23" x14ac:dyDescent="0.35"/>
    <row r="24" x14ac:dyDescent="0.35"/>
    <row r="25" x14ac:dyDescent="0.35"/>
    <row r="26" x14ac:dyDescent="0.35"/>
    <row r="27" x14ac:dyDescent="0.35"/>
    <row r="28" x14ac:dyDescent="0.35"/>
    <row r="29" x14ac:dyDescent="0.35"/>
    <row r="30" x14ac:dyDescent="0.35"/>
    <row r="31" x14ac:dyDescent="0.35"/>
    <row r="32" x14ac:dyDescent="0.35"/>
    <row r="33" x14ac:dyDescent="0.35"/>
    <row r="34" x14ac:dyDescent="0.35"/>
    <row r="35" x14ac:dyDescent="0.35"/>
    <row r="36" x14ac:dyDescent="0.35"/>
    <row r="37" x14ac:dyDescent="0.35"/>
    <row r="38" x14ac:dyDescent="0.35"/>
    <row r="39" x14ac:dyDescent="0.35"/>
    <row r="40" x14ac:dyDescent="0.35"/>
    <row r="41" x14ac:dyDescent="0.35"/>
    <row r="42" x14ac:dyDescent="0.35"/>
    <row r="43" x14ac:dyDescent="0.35"/>
    <row r="44" x14ac:dyDescent="0.35"/>
    <row r="45" x14ac:dyDescent="0.35"/>
    <row r="46" x14ac:dyDescent="0.35"/>
    <row r="47" x14ac:dyDescent="0.35"/>
    <row r="48" x14ac:dyDescent="0.35"/>
    <row r="49" x14ac:dyDescent="0.35"/>
    <row r="50" x14ac:dyDescent="0.35"/>
    <row r="51" x14ac:dyDescent="0.35"/>
    <row r="52" x14ac:dyDescent="0.35"/>
    <row r="53" x14ac:dyDescent="0.35"/>
    <row r="54" x14ac:dyDescent="0.35"/>
    <row r="55" x14ac:dyDescent="0.35"/>
    <row r="56" x14ac:dyDescent="0.35"/>
    <row r="57" x14ac:dyDescent="0.35"/>
    <row r="58" x14ac:dyDescent="0.35"/>
    <row r="59" x14ac:dyDescent="0.35"/>
  </sheetData>
  <pageMargins left="0.2" right="0.2" top="0.2" bottom="0.2" header="0.3" footer="0.3"/>
  <pageSetup paperSize="8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O59"/>
  <sheetViews>
    <sheetView showGridLines="0" tabSelected="1" zoomScale="42" zoomScaleNormal="42" workbookViewId="0">
      <selection activeCell="Y45" sqref="Y45"/>
    </sheetView>
  </sheetViews>
  <sheetFormatPr defaultColWidth="0" defaultRowHeight="14.5" zeroHeight="1" x14ac:dyDescent="0.35"/>
  <cols>
    <col min="1" max="25" width="9.1796875" style="1" customWidth="1"/>
    <col min="26" max="41" width="9.1796875" style="1" hidden="1"/>
    <col min="42" max="16384" width="8.7265625" hidden="1"/>
  </cols>
  <sheetData>
    <row r="1" x14ac:dyDescent="0.35"/>
    <row r="2" x14ac:dyDescent="0.35"/>
    <row r="3" x14ac:dyDescent="0.35"/>
    <row r="4" x14ac:dyDescent="0.35"/>
    <row r="5" x14ac:dyDescent="0.35"/>
    <row r="6" x14ac:dyDescent="0.35"/>
    <row r="7" x14ac:dyDescent="0.35"/>
    <row r="8" x14ac:dyDescent="0.35"/>
    <row r="9" x14ac:dyDescent="0.35"/>
    <row r="10" x14ac:dyDescent="0.35"/>
    <row r="11" x14ac:dyDescent="0.35"/>
    <row r="12" x14ac:dyDescent="0.35"/>
    <row r="13" x14ac:dyDescent="0.35"/>
    <row r="14" x14ac:dyDescent="0.35"/>
    <row r="15" x14ac:dyDescent="0.35"/>
    <row r="16" x14ac:dyDescent="0.35"/>
    <row r="17" x14ac:dyDescent="0.35"/>
    <row r="18" x14ac:dyDescent="0.35"/>
    <row r="19" x14ac:dyDescent="0.35"/>
    <row r="20" x14ac:dyDescent="0.35"/>
    <row r="21" x14ac:dyDescent="0.35"/>
    <row r="22" x14ac:dyDescent="0.35"/>
    <row r="23" x14ac:dyDescent="0.35"/>
    <row r="24" x14ac:dyDescent="0.35"/>
    <row r="25" x14ac:dyDescent="0.35"/>
    <row r="26" x14ac:dyDescent="0.35"/>
    <row r="27" x14ac:dyDescent="0.35"/>
    <row r="28" x14ac:dyDescent="0.35"/>
    <row r="29" x14ac:dyDescent="0.35"/>
    <row r="30" x14ac:dyDescent="0.35"/>
    <row r="31" x14ac:dyDescent="0.35"/>
    <row r="32" x14ac:dyDescent="0.35"/>
    <row r="33" x14ac:dyDescent="0.35"/>
    <row r="34" x14ac:dyDescent="0.35"/>
    <row r="35" x14ac:dyDescent="0.35"/>
    <row r="36" x14ac:dyDescent="0.35"/>
    <row r="37" x14ac:dyDescent="0.35"/>
    <row r="38" x14ac:dyDescent="0.35"/>
    <row r="39" x14ac:dyDescent="0.35"/>
    <row r="40" x14ac:dyDescent="0.35"/>
    <row r="41" x14ac:dyDescent="0.35"/>
    <row r="42" x14ac:dyDescent="0.35"/>
    <row r="43" x14ac:dyDescent="0.35"/>
    <row r="44" x14ac:dyDescent="0.35"/>
    <row r="45" x14ac:dyDescent="0.35"/>
    <row r="46" x14ac:dyDescent="0.35"/>
    <row r="47" x14ac:dyDescent="0.35"/>
    <row r="48" x14ac:dyDescent="0.35"/>
    <row r="49" x14ac:dyDescent="0.35"/>
    <row r="50" x14ac:dyDescent="0.35"/>
    <row r="51" x14ac:dyDescent="0.35"/>
    <row r="52" x14ac:dyDescent="0.35"/>
    <row r="53" x14ac:dyDescent="0.35"/>
    <row r="54" x14ac:dyDescent="0.35"/>
    <row r="55" x14ac:dyDescent="0.35"/>
    <row r="56" x14ac:dyDescent="0.35"/>
    <row r="57" x14ac:dyDescent="0.35"/>
    <row r="58" x14ac:dyDescent="0.35"/>
    <row r="59" x14ac:dyDescent="0.35"/>
  </sheetData>
  <pageMargins left="0.2" right="0.2" top="0.2" bottom="0.2" header="0.3" footer="0.3"/>
  <pageSetup paperSize="8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O59"/>
  <sheetViews>
    <sheetView showGridLines="0" zoomScale="41" zoomScaleNormal="41" workbookViewId="0"/>
  </sheetViews>
  <sheetFormatPr defaultColWidth="0" defaultRowHeight="14.5" zeroHeight="1" x14ac:dyDescent="0.35"/>
  <cols>
    <col min="1" max="25" width="9.1796875" style="1" customWidth="1"/>
    <col min="26" max="41" width="9.1796875" style="1" hidden="1"/>
    <col min="42" max="16384" width="8.7265625" hidden="1"/>
  </cols>
  <sheetData>
    <row r="1" x14ac:dyDescent="0.35"/>
    <row r="2" x14ac:dyDescent="0.35"/>
    <row r="3" x14ac:dyDescent="0.35"/>
    <row r="4" x14ac:dyDescent="0.35"/>
    <row r="5" x14ac:dyDescent="0.35"/>
    <row r="6" x14ac:dyDescent="0.35"/>
    <row r="7" x14ac:dyDescent="0.35"/>
    <row r="8" x14ac:dyDescent="0.35"/>
    <row r="9" x14ac:dyDescent="0.35"/>
    <row r="10" x14ac:dyDescent="0.35"/>
    <row r="11" x14ac:dyDescent="0.35"/>
    <row r="12" x14ac:dyDescent="0.35"/>
    <row r="13" x14ac:dyDescent="0.35"/>
    <row r="14" x14ac:dyDescent="0.35"/>
    <row r="15" x14ac:dyDescent="0.35"/>
    <row r="16" x14ac:dyDescent="0.35"/>
    <row r="17" x14ac:dyDescent="0.35"/>
    <row r="18" x14ac:dyDescent="0.35"/>
    <row r="19" x14ac:dyDescent="0.35"/>
    <row r="20" x14ac:dyDescent="0.35"/>
    <row r="21" x14ac:dyDescent="0.35"/>
    <row r="22" x14ac:dyDescent="0.35"/>
    <row r="23" x14ac:dyDescent="0.35"/>
    <row r="24" x14ac:dyDescent="0.35"/>
    <row r="25" x14ac:dyDescent="0.35"/>
    <row r="26" x14ac:dyDescent="0.35"/>
    <row r="27" x14ac:dyDescent="0.35"/>
    <row r="28" x14ac:dyDescent="0.35"/>
    <row r="29" x14ac:dyDescent="0.35"/>
    <row r="30" x14ac:dyDescent="0.35"/>
    <row r="31" x14ac:dyDescent="0.35"/>
    <row r="32" x14ac:dyDescent="0.35"/>
    <row r="33" x14ac:dyDescent="0.35"/>
    <row r="34" x14ac:dyDescent="0.35"/>
    <row r="35" x14ac:dyDescent="0.35"/>
    <row r="36" x14ac:dyDescent="0.35"/>
    <row r="37" x14ac:dyDescent="0.35"/>
    <row r="38" x14ac:dyDescent="0.35"/>
    <row r="39" x14ac:dyDescent="0.35"/>
    <row r="40" x14ac:dyDescent="0.35"/>
    <row r="41" x14ac:dyDescent="0.35"/>
    <row r="42" x14ac:dyDescent="0.35"/>
    <row r="43" x14ac:dyDescent="0.35"/>
    <row r="44" x14ac:dyDescent="0.35"/>
    <row r="45" x14ac:dyDescent="0.35"/>
    <row r="46" x14ac:dyDescent="0.35"/>
    <row r="47" x14ac:dyDescent="0.35"/>
    <row r="48" x14ac:dyDescent="0.35"/>
    <row r="49" x14ac:dyDescent="0.35"/>
    <row r="50" x14ac:dyDescent="0.35"/>
    <row r="51" x14ac:dyDescent="0.35"/>
    <row r="52" x14ac:dyDescent="0.35"/>
    <row r="53" x14ac:dyDescent="0.35"/>
    <row r="54" x14ac:dyDescent="0.35"/>
    <row r="55" x14ac:dyDescent="0.35"/>
    <row r="56" x14ac:dyDescent="0.35"/>
    <row r="57" x14ac:dyDescent="0.35"/>
    <row r="58" x14ac:dyDescent="0.35"/>
    <row r="59" x14ac:dyDescent="0.35"/>
  </sheetData>
  <pageMargins left="0.2" right="0.2" top="0.2" bottom="0.2" header="0.3" footer="0.3"/>
  <pageSetup paperSize="8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8"/>
  <sheetViews>
    <sheetView workbookViewId="0"/>
  </sheetViews>
  <sheetFormatPr defaultRowHeight="14.5" x14ac:dyDescent="0.35"/>
  <cols>
    <col min="1" max="1" width="34.7265625" customWidth="1"/>
    <col min="2" max="4" width="22.7265625" customWidth="1"/>
  </cols>
  <sheetData>
    <row r="1" spans="1:4" x14ac:dyDescent="0.35">
      <c r="A1" t="s">
        <v>0</v>
      </c>
      <c r="B1" t="str">
        <f>TEXT('Starbucks Financial data'!B4,"#,##0")</f>
        <v>40,990</v>
      </c>
    </row>
    <row r="2" spans="1:4" x14ac:dyDescent="0.35">
      <c r="A2" t="s">
        <v>1</v>
      </c>
      <c r="B2" t="str">
        <f>"US$"&amp;TEXT('Starbucks Financial data'!B5,"0.0")&amp;"bn"</f>
        <v>US$37.2bn</v>
      </c>
    </row>
    <row r="3" spans="1:4" x14ac:dyDescent="0.35">
      <c r="A3" t="s">
        <v>2</v>
      </c>
      <c r="B3" t="str">
        <f>TEXT('Starbucks Financial data'!B6,"0.0")&amp;"%"</f>
        <v>7.9%</v>
      </c>
    </row>
    <row r="4" spans="1:4" x14ac:dyDescent="0.35">
      <c r="A4" t="s">
        <v>3</v>
      </c>
      <c r="B4" t="str">
        <f>"▼ "&amp;'Starbucks Financial data'!B7&amp;" bps contraction"</f>
        <v>▼ 710 bps contraction</v>
      </c>
    </row>
    <row r="5" spans="1:4" x14ac:dyDescent="0.35">
      <c r="A5" t="s">
        <v>4</v>
      </c>
      <c r="B5" t="str">
        <f>TEXT(('Starbucks Financial data'!B10+'Starbucks Financial data'!B11)/'Starbucks Financial data'!B4,"0%")</f>
        <v>61%</v>
      </c>
    </row>
    <row r="6" spans="1:4" x14ac:dyDescent="0.35">
      <c r="A6" t="s">
        <v>5</v>
      </c>
      <c r="B6" t="str">
        <f>TEXT('2_Nepal_Macroeconomic'!B4/1000000,"0.0")&amp;"m"</f>
        <v>29.6m</v>
      </c>
    </row>
    <row r="7" spans="1:4" x14ac:dyDescent="0.35">
      <c r="A7" t="s">
        <v>6</v>
      </c>
      <c r="B7" t="str">
        <f>"US$"&amp;TEXT('2_Nepal_Macroeconomic'!B5,"#,##0")</f>
        <v>US$1,536</v>
      </c>
    </row>
    <row r="8" spans="1:4" x14ac:dyDescent="0.35">
      <c r="A8" t="s">
        <v>7</v>
      </c>
      <c r="B8" t="str">
        <f>"Beverage ≈ "&amp;TEXT(3.5/'2_Nepal_Macroeconomic'!B5,"0.00%")&amp;" of GDP p.c."</f>
        <v>Beverage ≈ 0.23% of GDP p.c.</v>
      </c>
    </row>
    <row r="9" spans="1:4" x14ac:dyDescent="0.35">
      <c r="A9" t="s">
        <v>8</v>
      </c>
      <c r="B9" t="str">
        <f>TEXT('2_Nepal_Macroeconomic'!B7,"0.0")&amp;"%"</f>
        <v>4.4%</v>
      </c>
    </row>
    <row r="10" spans="1:4" x14ac:dyDescent="0.35">
      <c r="A10" t="s">
        <v>9</v>
      </c>
      <c r="B10" t="str">
        <f>"FY2026 projection "&amp;TEXT('2_Nepal_Macroeconomic'!B8,"0.0")&amp;"%"</f>
        <v>FY2026 projection 2.3%</v>
      </c>
    </row>
    <row r="11" spans="1:4" x14ac:dyDescent="0.35">
      <c r="A11" t="s">
        <v>10</v>
      </c>
      <c r="B11" t="str">
        <f>TEXT('3_Nepal_Coffee'!B4-'3_Nepal_Coffee'!B5,"#,##0")&amp;" t"</f>
        <v>1,214 t</v>
      </c>
    </row>
    <row r="13" spans="1:4" x14ac:dyDescent="0.35">
      <c r="A13" t="s">
        <v>11</v>
      </c>
    </row>
    <row r="14" spans="1:4" x14ac:dyDescent="0.35">
      <c r="A14" t="s">
        <v>12</v>
      </c>
      <c r="B14">
        <f>'3_Nepal_Coffee'!B4</f>
        <v>1800</v>
      </c>
      <c r="C14">
        <v>0</v>
      </c>
      <c r="D14" t="s">
        <v>15</v>
      </c>
    </row>
    <row r="15" spans="1:4" x14ac:dyDescent="0.35">
      <c r="A15" t="s">
        <v>13</v>
      </c>
      <c r="B15">
        <f>'3_Nepal_Coffee'!B5</f>
        <v>586</v>
      </c>
      <c r="C15">
        <v>0</v>
      </c>
    </row>
    <row r="16" spans="1:4" x14ac:dyDescent="0.35">
      <c r="A16" t="s">
        <v>14</v>
      </c>
      <c r="B16">
        <f>'3_Nepal_Coffee'!B6</f>
        <v>1200</v>
      </c>
      <c r="C16">
        <f>'3_Nepal_Coffee'!B7-'3_Nepal_Coffee'!B6</f>
        <v>200</v>
      </c>
    </row>
    <row r="19" spans="1:3" x14ac:dyDescent="0.35">
      <c r="A19" t="s">
        <v>16</v>
      </c>
    </row>
    <row r="20" spans="1:3" x14ac:dyDescent="0.35">
      <c r="A20" t="str">
        <f>'4_Hofstede'!A4</f>
        <v>Power distance</v>
      </c>
      <c r="B20">
        <f>'4_Hofstede'!B4</f>
        <v>65</v>
      </c>
      <c r="C20">
        <f>'4_Hofstede'!C4</f>
        <v>40</v>
      </c>
    </row>
    <row r="21" spans="1:3" x14ac:dyDescent="0.35">
      <c r="A21" t="str">
        <f>'4_Hofstede'!A5</f>
        <v>Individualism</v>
      </c>
      <c r="B21">
        <f>'4_Hofstede'!B5</f>
        <v>30</v>
      </c>
      <c r="C21">
        <f>'4_Hofstede'!C5</f>
        <v>91</v>
      </c>
    </row>
    <row r="22" spans="1:3" x14ac:dyDescent="0.35">
      <c r="A22" t="str">
        <f>'4_Hofstede'!A6</f>
        <v>Motivation towards achievement</v>
      </c>
      <c r="B22">
        <f>'4_Hofstede'!B6</f>
        <v>40</v>
      </c>
      <c r="C22">
        <f>'4_Hofstede'!C6</f>
        <v>62</v>
      </c>
    </row>
    <row r="23" spans="1:3" x14ac:dyDescent="0.35">
      <c r="A23" t="str">
        <f>'4_Hofstede'!A7</f>
        <v>Uncertainty avoidance</v>
      </c>
      <c r="B23">
        <f>'4_Hofstede'!B7</f>
        <v>40</v>
      </c>
      <c r="C23">
        <f>'4_Hofstede'!C7</f>
        <v>46</v>
      </c>
    </row>
    <row r="25" spans="1:3" x14ac:dyDescent="0.35">
      <c r="A25" t="s">
        <v>17</v>
      </c>
    </row>
    <row r="26" spans="1:3" x14ac:dyDescent="0.35">
      <c r="A26" t="s">
        <v>18</v>
      </c>
      <c r="B26">
        <f>'Starbucks Financial data'!B10</f>
        <v>16864</v>
      </c>
    </row>
    <row r="27" spans="1:3" x14ac:dyDescent="0.35">
      <c r="A27" t="s">
        <v>19</v>
      </c>
      <c r="B27">
        <f>'Starbucks Financial data'!B11</f>
        <v>8011</v>
      </c>
    </row>
    <row r="28" spans="1:3" x14ac:dyDescent="0.35">
      <c r="A28" t="s">
        <v>20</v>
      </c>
      <c r="B28">
        <f>'Starbucks Financial data'!B4-'Starbucks Financial data'!B10-'Starbucks Financial data'!B11</f>
        <v>16115</v>
      </c>
    </row>
    <row r="32" spans="1:3" x14ac:dyDescent="0.35">
      <c r="A32" t="s">
        <v>21</v>
      </c>
      <c r="B32" t="str">
        <f>TEXT('Starbucks Financial data'!B17,"#,##0")&amp;" stores"</f>
        <v>20,000 stores</v>
      </c>
    </row>
    <row r="33" spans="1:3" x14ac:dyDescent="0.35">
      <c r="A33" t="s">
        <v>22</v>
      </c>
      <c r="B33" t="str">
        <f>TEXT('Starbucks Financial data'!B8,"0")&amp;"%"</f>
        <v>-1%</v>
      </c>
    </row>
    <row r="34" spans="1:3" x14ac:dyDescent="0.35">
      <c r="A34" t="s">
        <v>23</v>
      </c>
      <c r="B34" t="str">
        <f>TEXT('Starbucks Financial data'!B9,"0")&amp;"%"</f>
        <v>-2%</v>
      </c>
    </row>
    <row r="35" spans="1:3" x14ac:dyDescent="0.35">
      <c r="A35" t="s">
        <v>24</v>
      </c>
      <c r="B35" t="str">
        <f>"US$"&amp;'Starbucks Financial data'!B13&amp;"m"</f>
        <v>US$500m</v>
      </c>
    </row>
    <row r="36" spans="1:3" x14ac:dyDescent="0.35">
      <c r="A36" t="s">
        <v>25</v>
      </c>
      <c r="B36" t="str">
        <f>TEXT('Starbucks Financial data'!B14,"#,##0")</f>
        <v>230,000</v>
      </c>
    </row>
    <row r="37" spans="1:3" x14ac:dyDescent="0.35">
      <c r="A37" t="s">
        <v>26</v>
      </c>
      <c r="B37">
        <f>'Starbucks Financial data'!B8</f>
        <v>-1</v>
      </c>
    </row>
    <row r="38" spans="1:3" x14ac:dyDescent="0.35">
      <c r="A38" t="s">
        <v>27</v>
      </c>
      <c r="B38">
        <f>'Starbucks Financial data'!B9</f>
        <v>-2</v>
      </c>
    </row>
    <row r="39" spans="1:3" x14ac:dyDescent="0.35">
      <c r="A39" t="s">
        <v>28</v>
      </c>
      <c r="B39">
        <f>'Starbucks Financial data'!B15</f>
        <v>60</v>
      </c>
    </row>
    <row r="40" spans="1:3" x14ac:dyDescent="0.35">
      <c r="A40" t="s">
        <v>29</v>
      </c>
      <c r="B40">
        <f>'Starbucks Financial data'!B16</f>
        <v>40</v>
      </c>
    </row>
    <row r="41" spans="1:3" x14ac:dyDescent="0.35">
      <c r="A41" t="s">
        <v>30</v>
      </c>
      <c r="B41" t="str">
        <f>"US$"&amp;TEXT('2_Nepal_Macroeconomic'!B6,"0.0")&amp;"bn"</f>
        <v>US$45.5bn</v>
      </c>
    </row>
    <row r="42" spans="1:3" x14ac:dyDescent="0.35">
      <c r="A42" t="s">
        <v>31</v>
      </c>
      <c r="B42" t="str">
        <f>TEXT('2_Nepal_Macroeconomic'!B13,"0.0")&amp;"%"</f>
        <v>10.5%</v>
      </c>
    </row>
    <row r="43" spans="1:3" x14ac:dyDescent="0.35">
      <c r="A43" t="s">
        <v>32</v>
      </c>
      <c r="B43" t="str">
        <f>TEXT('2_Nepal_Macroeconomic'!B14,"0")&amp;"% of GDP"</f>
        <v>26% of GDP</v>
      </c>
    </row>
    <row r="44" spans="1:3" x14ac:dyDescent="0.35">
      <c r="A44" t="s">
        <v>33</v>
      </c>
      <c r="B44" t="str">
        <f>TEXT('2_Nepal_Macroeconomic'!B18/1000000,"0.00")&amp;"m"</f>
        <v>1.16m</v>
      </c>
    </row>
    <row r="45" spans="1:3" x14ac:dyDescent="0.35">
      <c r="A45" t="s">
        <v>34</v>
      </c>
      <c r="B45" t="str">
        <f>'2_Nepal_Macroeconomic'!B16&amp;" MW"</f>
        <v>385 MW</v>
      </c>
    </row>
    <row r="46" spans="1:3" x14ac:dyDescent="0.35">
      <c r="A46" t="s">
        <v>35</v>
      </c>
      <c r="B46">
        <f>'2_Nepal_Macroeconomic'!B7</f>
        <v>4.4000000000000004</v>
      </c>
      <c r="C46">
        <f>'2_Nepal_Macroeconomic'!B10</f>
        <v>4.0999999999999996</v>
      </c>
    </row>
    <row r="47" spans="1:3" x14ac:dyDescent="0.35">
      <c r="A47" t="s">
        <v>36</v>
      </c>
      <c r="B47">
        <f>'2_Nepal_Macroeconomic'!B8</f>
        <v>2.2999999999999998</v>
      </c>
      <c r="C47">
        <f>'2_Nepal_Macroeconomic'!B11</f>
        <v>4.3</v>
      </c>
    </row>
    <row r="48" spans="1:3" x14ac:dyDescent="0.35">
      <c r="A48" t="s">
        <v>37</v>
      </c>
      <c r="B48">
        <f>'2_Nepal_Macroeconomic'!B9</f>
        <v>4.4000000000000004</v>
      </c>
      <c r="C48">
        <f>'2_Nepal_Macroeconomic'!B12</f>
        <v>5.0999999999999996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9"/>
  <sheetViews>
    <sheetView workbookViewId="0"/>
  </sheetViews>
  <sheetFormatPr defaultRowHeight="14.5" x14ac:dyDescent="0.35"/>
  <cols>
    <col min="1" max="6" width="30.7265625" customWidth="1"/>
    <col min="7" max="7" width="60.7265625" customWidth="1"/>
    <col min="8" max="8" width="30.7265625" customWidth="1"/>
  </cols>
  <sheetData>
    <row r="1" spans="1:9" ht="29" x14ac:dyDescent="0.35">
      <c r="A1" s="2" t="s">
        <v>39</v>
      </c>
      <c r="I1" s="3" t="s">
        <v>38</v>
      </c>
    </row>
    <row r="3" spans="1:9" x14ac:dyDescent="0.35">
      <c r="A3" s="4" t="s">
        <v>40</v>
      </c>
      <c r="B3" s="4" t="s">
        <v>41</v>
      </c>
      <c r="C3" s="4" t="s">
        <v>42</v>
      </c>
      <c r="D3" s="4" t="s">
        <v>43</v>
      </c>
    </row>
    <row r="4" spans="1:9" x14ac:dyDescent="0.35">
      <c r="A4" s="2" t="s">
        <v>44</v>
      </c>
      <c r="B4" s="2">
        <v>40990</v>
      </c>
      <c r="C4" s="2" t="s">
        <v>45</v>
      </c>
      <c r="D4" s="2" t="s">
        <v>46</v>
      </c>
    </row>
    <row r="5" spans="1:9" x14ac:dyDescent="0.35">
      <c r="A5" s="2" t="s">
        <v>47</v>
      </c>
      <c r="B5" s="2">
        <v>37.200000000000003</v>
      </c>
      <c r="C5" s="2" t="s">
        <v>48</v>
      </c>
      <c r="D5" s="2" t="s">
        <v>46</v>
      </c>
    </row>
    <row r="6" spans="1:9" x14ac:dyDescent="0.35">
      <c r="A6" s="2" t="s">
        <v>49</v>
      </c>
      <c r="B6" s="2">
        <v>7.9</v>
      </c>
      <c r="C6" s="2" t="s">
        <v>50</v>
      </c>
      <c r="D6" s="2" t="s">
        <v>46</v>
      </c>
    </row>
    <row r="7" spans="1:9" x14ac:dyDescent="0.35">
      <c r="A7" s="2" t="s">
        <v>51</v>
      </c>
      <c r="B7" s="2">
        <v>710</v>
      </c>
      <c r="C7" s="2" t="s">
        <v>52</v>
      </c>
      <c r="D7" s="2" t="s">
        <v>46</v>
      </c>
    </row>
    <row r="8" spans="1:9" x14ac:dyDescent="0.35">
      <c r="A8" s="2" t="s">
        <v>53</v>
      </c>
      <c r="B8" s="2">
        <v>-1</v>
      </c>
      <c r="C8" s="2" t="s">
        <v>54</v>
      </c>
      <c r="D8" s="2" t="s">
        <v>46</v>
      </c>
    </row>
    <row r="9" spans="1:9" ht="29" x14ac:dyDescent="0.35">
      <c r="A9" s="2" t="s">
        <v>55</v>
      </c>
      <c r="B9" s="2">
        <v>-2</v>
      </c>
      <c r="C9" s="2" t="s">
        <v>54</v>
      </c>
      <c r="D9" s="2" t="s">
        <v>46</v>
      </c>
    </row>
    <row r="10" spans="1:9" x14ac:dyDescent="0.35">
      <c r="A10" s="2" t="s">
        <v>56</v>
      </c>
      <c r="B10" s="2">
        <v>16864</v>
      </c>
      <c r="C10" s="2" t="s">
        <v>45</v>
      </c>
      <c r="D10" s="2" t="s">
        <v>46</v>
      </c>
    </row>
    <row r="11" spans="1:9" x14ac:dyDescent="0.35">
      <c r="A11" s="2" t="s">
        <v>57</v>
      </c>
      <c r="B11" s="2">
        <v>8011</v>
      </c>
      <c r="C11" s="2" t="s">
        <v>45</v>
      </c>
      <c r="D11" s="2" t="s">
        <v>46</v>
      </c>
    </row>
    <row r="12" spans="1:9" x14ac:dyDescent="0.35">
      <c r="A12" s="2" t="s">
        <v>58</v>
      </c>
      <c r="B12" s="2">
        <v>61</v>
      </c>
      <c r="C12" s="2" t="s">
        <v>50</v>
      </c>
      <c r="D12" s="2" t="s">
        <v>46</v>
      </c>
    </row>
    <row r="13" spans="1:9" x14ac:dyDescent="0.35">
      <c r="A13" s="2" t="s">
        <v>24</v>
      </c>
      <c r="B13" s="2">
        <v>500</v>
      </c>
      <c r="C13" s="2" t="s">
        <v>59</v>
      </c>
      <c r="D13" s="2" t="s">
        <v>60</v>
      </c>
    </row>
    <row r="14" spans="1:9" x14ac:dyDescent="0.35">
      <c r="A14" s="2" t="s">
        <v>61</v>
      </c>
      <c r="B14" s="2">
        <v>230000</v>
      </c>
      <c r="C14" s="2" t="s">
        <v>62</v>
      </c>
      <c r="D14" s="2" t="s">
        <v>63</v>
      </c>
    </row>
    <row r="15" spans="1:9" x14ac:dyDescent="0.35">
      <c r="A15" s="2" t="s">
        <v>64</v>
      </c>
      <c r="B15" s="2">
        <v>60</v>
      </c>
      <c r="C15" s="2" t="s">
        <v>50</v>
      </c>
      <c r="D15" s="2" t="s">
        <v>65</v>
      </c>
    </row>
    <row r="16" spans="1:9" x14ac:dyDescent="0.35">
      <c r="A16" s="2" t="s">
        <v>66</v>
      </c>
      <c r="B16" s="2">
        <v>40</v>
      </c>
      <c r="C16" s="2" t="s">
        <v>50</v>
      </c>
      <c r="D16" s="2" t="s">
        <v>65</v>
      </c>
    </row>
    <row r="17" spans="1:4" x14ac:dyDescent="0.35">
      <c r="A17" s="2" t="s">
        <v>67</v>
      </c>
      <c r="B17" s="2">
        <v>20000</v>
      </c>
      <c r="C17" s="2" t="s">
        <v>45</v>
      </c>
      <c r="D17" s="2" t="s">
        <v>65</v>
      </c>
    </row>
    <row r="19" spans="1:4" ht="43.5" x14ac:dyDescent="0.35">
      <c r="A19" s="2" t="s">
        <v>68</v>
      </c>
    </row>
  </sheetData>
  <hyperlinks>
    <hyperlink ref="I1" location="'Overview'!A1" display="← Back to Overview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0"/>
  <sheetViews>
    <sheetView workbookViewId="0"/>
  </sheetViews>
  <sheetFormatPr defaultRowHeight="14.5" x14ac:dyDescent="0.35"/>
  <cols>
    <col min="1" max="6" width="30.7265625" customWidth="1"/>
    <col min="7" max="7" width="60.7265625" customWidth="1"/>
    <col min="8" max="8" width="30.7265625" customWidth="1"/>
  </cols>
  <sheetData>
    <row r="1" spans="1:9" ht="29" x14ac:dyDescent="0.35">
      <c r="A1" s="2" t="s">
        <v>69</v>
      </c>
      <c r="I1" s="3" t="s">
        <v>38</v>
      </c>
    </row>
    <row r="3" spans="1:9" x14ac:dyDescent="0.35">
      <c r="A3" s="4" t="s">
        <v>70</v>
      </c>
      <c r="B3" s="4" t="s">
        <v>41</v>
      </c>
      <c r="C3" s="4" t="s">
        <v>42</v>
      </c>
      <c r="D3" s="4" t="s">
        <v>71</v>
      </c>
      <c r="E3" s="4" t="s">
        <v>43</v>
      </c>
    </row>
    <row r="4" spans="1:9" x14ac:dyDescent="0.35">
      <c r="A4" s="2" t="s">
        <v>72</v>
      </c>
      <c r="B4" s="2">
        <v>29618118</v>
      </c>
      <c r="C4" s="2" t="s">
        <v>73</v>
      </c>
      <c r="D4" s="2" t="s">
        <v>74</v>
      </c>
      <c r="E4" s="2" t="s">
        <v>75</v>
      </c>
    </row>
    <row r="5" spans="1:9" x14ac:dyDescent="0.35">
      <c r="A5" s="2" t="s">
        <v>76</v>
      </c>
      <c r="B5" s="2">
        <v>1535.9</v>
      </c>
      <c r="C5" s="2" t="s">
        <v>77</v>
      </c>
      <c r="D5" s="2" t="s">
        <v>74</v>
      </c>
      <c r="E5" s="2" t="s">
        <v>75</v>
      </c>
    </row>
    <row r="6" spans="1:9" x14ac:dyDescent="0.35">
      <c r="A6" s="2" t="s">
        <v>78</v>
      </c>
      <c r="B6" s="2">
        <v>45.49</v>
      </c>
      <c r="C6" s="2" t="s">
        <v>48</v>
      </c>
      <c r="D6" s="2" t="s">
        <v>74</v>
      </c>
      <c r="E6" s="2" t="s">
        <v>75</v>
      </c>
    </row>
    <row r="7" spans="1:9" x14ac:dyDescent="0.35">
      <c r="A7" s="2" t="s">
        <v>79</v>
      </c>
      <c r="B7" s="2">
        <v>4.4000000000000004</v>
      </c>
      <c r="C7" s="2" t="s">
        <v>50</v>
      </c>
      <c r="D7" s="2" t="s">
        <v>74</v>
      </c>
      <c r="E7" s="2" t="s">
        <v>75</v>
      </c>
    </row>
    <row r="8" spans="1:9" x14ac:dyDescent="0.35">
      <c r="A8" s="2" t="s">
        <v>80</v>
      </c>
      <c r="B8" s="2">
        <v>2.2999999999999998</v>
      </c>
      <c r="C8" s="2" t="s">
        <v>50</v>
      </c>
      <c r="D8" s="2" t="s">
        <v>36</v>
      </c>
      <c r="E8" s="2" t="s">
        <v>81</v>
      </c>
    </row>
    <row r="9" spans="1:9" x14ac:dyDescent="0.35">
      <c r="A9" s="2" t="s">
        <v>82</v>
      </c>
      <c r="B9" s="2">
        <v>4.4000000000000004</v>
      </c>
      <c r="C9" s="2" t="s">
        <v>50</v>
      </c>
      <c r="D9" s="2" t="s">
        <v>83</v>
      </c>
      <c r="E9" s="2" t="s">
        <v>81</v>
      </c>
    </row>
    <row r="10" spans="1:9" x14ac:dyDescent="0.35">
      <c r="A10" s="2" t="s">
        <v>84</v>
      </c>
      <c r="B10" s="2">
        <v>4.0999999999999996</v>
      </c>
      <c r="C10" s="2" t="s">
        <v>50</v>
      </c>
      <c r="D10" s="2" t="s">
        <v>85</v>
      </c>
      <c r="E10" s="2" t="s">
        <v>81</v>
      </c>
    </row>
    <row r="11" spans="1:9" x14ac:dyDescent="0.35">
      <c r="A11" s="2" t="s">
        <v>86</v>
      </c>
      <c r="B11" s="2">
        <v>4.3</v>
      </c>
      <c r="C11" s="2" t="s">
        <v>50</v>
      </c>
      <c r="D11" s="2" t="s">
        <v>36</v>
      </c>
      <c r="E11" s="2" t="s">
        <v>81</v>
      </c>
    </row>
    <row r="12" spans="1:9" x14ac:dyDescent="0.35">
      <c r="A12" s="2" t="s">
        <v>86</v>
      </c>
      <c r="B12" s="2">
        <v>5.0999999999999996</v>
      </c>
      <c r="C12" s="2" t="s">
        <v>50</v>
      </c>
      <c r="D12" s="2" t="s">
        <v>37</v>
      </c>
      <c r="E12" s="2" t="s">
        <v>81</v>
      </c>
    </row>
    <row r="13" spans="1:9" x14ac:dyDescent="0.35">
      <c r="A13" s="2" t="s">
        <v>87</v>
      </c>
      <c r="B13" s="2">
        <v>10.5</v>
      </c>
      <c r="C13" s="2" t="s">
        <v>50</v>
      </c>
      <c r="D13" s="2" t="s">
        <v>74</v>
      </c>
      <c r="E13" s="2" t="s">
        <v>75</v>
      </c>
    </row>
    <row r="14" spans="1:9" x14ac:dyDescent="0.35">
      <c r="A14" s="2" t="s">
        <v>88</v>
      </c>
      <c r="B14" s="2">
        <v>26</v>
      </c>
      <c r="C14" s="2" t="s">
        <v>89</v>
      </c>
      <c r="D14" s="2" t="s">
        <v>90</v>
      </c>
      <c r="E14" s="2" t="s">
        <v>75</v>
      </c>
    </row>
    <row r="15" spans="1:9" x14ac:dyDescent="0.35">
      <c r="A15" s="2" t="s">
        <v>91</v>
      </c>
      <c r="B15" s="2">
        <v>1.3</v>
      </c>
      <c r="C15" s="2" t="s">
        <v>89</v>
      </c>
      <c r="D15" s="2" t="s">
        <v>74</v>
      </c>
      <c r="E15" s="2" t="s">
        <v>81</v>
      </c>
    </row>
    <row r="16" spans="1:9" x14ac:dyDescent="0.35">
      <c r="A16" s="2" t="s">
        <v>92</v>
      </c>
      <c r="B16" s="2">
        <v>385</v>
      </c>
      <c r="C16" s="2" t="s">
        <v>93</v>
      </c>
      <c r="D16" s="2" t="s">
        <v>94</v>
      </c>
      <c r="E16" s="2" t="s">
        <v>81</v>
      </c>
    </row>
    <row r="17" spans="1:5" x14ac:dyDescent="0.35">
      <c r="A17" s="2" t="s">
        <v>95</v>
      </c>
      <c r="B17" s="2" t="s">
        <v>96</v>
      </c>
      <c r="C17" s="2" t="s">
        <v>97</v>
      </c>
      <c r="D17" s="2" t="s">
        <v>98</v>
      </c>
      <c r="E17" s="2" t="s">
        <v>81</v>
      </c>
    </row>
    <row r="18" spans="1:5" x14ac:dyDescent="0.35">
      <c r="A18" s="2" t="s">
        <v>99</v>
      </c>
      <c r="B18" s="2">
        <v>1158459</v>
      </c>
      <c r="C18" s="2" t="s">
        <v>100</v>
      </c>
      <c r="D18" s="2" t="s">
        <v>74</v>
      </c>
      <c r="E18" s="2" t="s">
        <v>101</v>
      </c>
    </row>
    <row r="20" spans="1:5" ht="43.5" x14ac:dyDescent="0.35">
      <c r="A20" s="2" t="s">
        <v>102</v>
      </c>
    </row>
  </sheetData>
  <hyperlinks>
    <hyperlink ref="I1" location="'Overview'!A1" display="← Back to Overview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3"/>
  <sheetViews>
    <sheetView workbookViewId="0"/>
  </sheetViews>
  <sheetFormatPr defaultRowHeight="14.5" x14ac:dyDescent="0.35"/>
  <cols>
    <col min="1" max="6" width="30.7265625" customWidth="1"/>
    <col min="7" max="7" width="60.7265625" customWidth="1"/>
    <col min="8" max="8" width="30.7265625" customWidth="1"/>
  </cols>
  <sheetData>
    <row r="1" spans="1:9" ht="29" x14ac:dyDescent="0.35">
      <c r="A1" s="2" t="s">
        <v>103</v>
      </c>
      <c r="I1" s="3" t="s">
        <v>38</v>
      </c>
    </row>
    <row r="3" spans="1:9" x14ac:dyDescent="0.35">
      <c r="A3" s="4" t="s">
        <v>40</v>
      </c>
      <c r="B3" s="4" t="s">
        <v>41</v>
      </c>
      <c r="C3" s="4" t="s">
        <v>42</v>
      </c>
      <c r="D3" s="4" t="s">
        <v>104</v>
      </c>
    </row>
    <row r="4" spans="1:9" x14ac:dyDescent="0.35">
      <c r="A4" s="2" t="s">
        <v>105</v>
      </c>
      <c r="B4" s="2">
        <v>1800</v>
      </c>
      <c r="C4" s="2" t="s">
        <v>106</v>
      </c>
      <c r="D4" s="2" t="s">
        <v>107</v>
      </c>
    </row>
    <row r="5" spans="1:9" x14ac:dyDescent="0.35">
      <c r="A5" s="2" t="s">
        <v>108</v>
      </c>
      <c r="B5" s="2">
        <v>586</v>
      </c>
      <c r="C5" s="2" t="s">
        <v>109</v>
      </c>
      <c r="D5" s="2" t="s">
        <v>107</v>
      </c>
    </row>
    <row r="6" spans="1:9" x14ac:dyDescent="0.35">
      <c r="A6" s="2" t="s">
        <v>110</v>
      </c>
      <c r="B6" s="2">
        <v>1200</v>
      </c>
      <c r="C6" s="2" t="s">
        <v>106</v>
      </c>
      <c r="D6" s="2" t="s">
        <v>107</v>
      </c>
    </row>
    <row r="7" spans="1:9" x14ac:dyDescent="0.35">
      <c r="A7" s="2" t="s">
        <v>111</v>
      </c>
      <c r="B7" s="2">
        <v>1400</v>
      </c>
      <c r="C7" s="2" t="s">
        <v>106</v>
      </c>
      <c r="D7" s="2" t="s">
        <v>107</v>
      </c>
    </row>
    <row r="8" spans="1:9" x14ac:dyDescent="0.35">
      <c r="A8" s="2" t="s">
        <v>112</v>
      </c>
      <c r="B8" s="2">
        <v>1214</v>
      </c>
      <c r="C8" s="2" t="s">
        <v>113</v>
      </c>
      <c r="D8" s="2" t="s">
        <v>114</v>
      </c>
    </row>
    <row r="9" spans="1:9" x14ac:dyDescent="0.35">
      <c r="A9" s="2" t="s">
        <v>115</v>
      </c>
      <c r="B9" s="2" t="s">
        <v>116</v>
      </c>
      <c r="C9" s="2" t="s">
        <v>97</v>
      </c>
      <c r="D9" s="2" t="s">
        <v>117</v>
      </c>
    </row>
    <row r="10" spans="1:9" x14ac:dyDescent="0.35">
      <c r="A10" s="2" t="s">
        <v>118</v>
      </c>
      <c r="B10" s="2" t="s">
        <v>116</v>
      </c>
      <c r="C10" s="2" t="s">
        <v>97</v>
      </c>
      <c r="D10" s="2" t="s">
        <v>107</v>
      </c>
    </row>
    <row r="11" spans="1:9" x14ac:dyDescent="0.35">
      <c r="A11" s="2" t="s">
        <v>119</v>
      </c>
      <c r="B11" s="2" t="s">
        <v>116</v>
      </c>
      <c r="C11" s="2" t="s">
        <v>97</v>
      </c>
      <c r="D11" s="2" t="s">
        <v>107</v>
      </c>
    </row>
    <row r="13" spans="1:9" ht="43.5" x14ac:dyDescent="0.35">
      <c r="A13" s="2" t="s">
        <v>120</v>
      </c>
    </row>
  </sheetData>
  <hyperlinks>
    <hyperlink ref="I1" location="'Overview'!A1" display="← Back to Overview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1"/>
  <sheetViews>
    <sheetView workbookViewId="0"/>
  </sheetViews>
  <sheetFormatPr defaultRowHeight="14.5" x14ac:dyDescent="0.35"/>
  <cols>
    <col min="1" max="6" width="30.7265625" customWidth="1"/>
    <col min="7" max="7" width="60.7265625" customWidth="1"/>
    <col min="8" max="8" width="30.7265625" customWidth="1"/>
  </cols>
  <sheetData>
    <row r="1" spans="1:9" ht="29" x14ac:dyDescent="0.35">
      <c r="A1" s="2" t="s">
        <v>121</v>
      </c>
      <c r="I1" s="3" t="s">
        <v>38</v>
      </c>
    </row>
    <row r="3" spans="1:9" x14ac:dyDescent="0.35">
      <c r="A3" s="4" t="s">
        <v>122</v>
      </c>
      <c r="B3" s="4" t="s">
        <v>123</v>
      </c>
      <c r="C3" s="4" t="s">
        <v>124</v>
      </c>
      <c r="D3" s="4" t="s">
        <v>125</v>
      </c>
      <c r="E3" s="4" t="s">
        <v>126</v>
      </c>
      <c r="F3" s="4" t="s">
        <v>43</v>
      </c>
    </row>
    <row r="4" spans="1:9" x14ac:dyDescent="0.35">
      <c r="A4" s="2" t="s">
        <v>127</v>
      </c>
      <c r="B4" s="2">
        <v>65</v>
      </c>
      <c r="C4" s="2">
        <v>40</v>
      </c>
      <c r="D4" s="2">
        <v>25</v>
      </c>
      <c r="E4" s="2" t="s">
        <v>116</v>
      </c>
      <c r="F4" s="2" t="s">
        <v>128</v>
      </c>
    </row>
    <row r="5" spans="1:9" x14ac:dyDescent="0.35">
      <c r="A5" s="2" t="s">
        <v>129</v>
      </c>
      <c r="B5" s="2">
        <v>30</v>
      </c>
      <c r="C5" s="2">
        <v>91</v>
      </c>
      <c r="D5" s="2">
        <v>-61</v>
      </c>
      <c r="E5" s="2" t="s">
        <v>116</v>
      </c>
      <c r="F5" s="2" t="s">
        <v>128</v>
      </c>
    </row>
    <row r="6" spans="1:9" x14ac:dyDescent="0.35">
      <c r="A6" s="2" t="s">
        <v>130</v>
      </c>
      <c r="B6" s="2">
        <v>40</v>
      </c>
      <c r="C6" s="2">
        <v>62</v>
      </c>
      <c r="D6" s="2">
        <v>-22</v>
      </c>
      <c r="E6" s="2" t="s">
        <v>116</v>
      </c>
      <c r="F6" s="2" t="s">
        <v>128</v>
      </c>
    </row>
    <row r="7" spans="1:9" x14ac:dyDescent="0.35">
      <c r="A7" s="2" t="s">
        <v>131</v>
      </c>
      <c r="B7" s="2">
        <v>40</v>
      </c>
      <c r="C7" s="2">
        <v>46</v>
      </c>
      <c r="D7" s="2">
        <v>-6</v>
      </c>
      <c r="E7" s="2" t="s">
        <v>116</v>
      </c>
      <c r="F7" s="2" t="s">
        <v>128</v>
      </c>
    </row>
    <row r="8" spans="1:9" x14ac:dyDescent="0.35">
      <c r="A8" s="2" t="s">
        <v>132</v>
      </c>
      <c r="B8" s="2" t="s">
        <v>133</v>
      </c>
      <c r="C8" s="2">
        <v>50</v>
      </c>
      <c r="D8" s="2" t="s">
        <v>97</v>
      </c>
      <c r="E8" s="2" t="s">
        <v>134</v>
      </c>
      <c r="F8" s="2" t="s">
        <v>128</v>
      </c>
    </row>
    <row r="9" spans="1:9" x14ac:dyDescent="0.35">
      <c r="A9" s="2" t="s">
        <v>135</v>
      </c>
      <c r="B9" s="2" t="s">
        <v>133</v>
      </c>
      <c r="C9" s="2">
        <v>68</v>
      </c>
      <c r="D9" s="2" t="s">
        <v>97</v>
      </c>
      <c r="E9" s="2" t="s">
        <v>134</v>
      </c>
      <c r="F9" s="2" t="s">
        <v>128</v>
      </c>
    </row>
    <row r="11" spans="1:9" ht="58" x14ac:dyDescent="0.35">
      <c r="A11" s="2" t="s">
        <v>136</v>
      </c>
    </row>
  </sheetData>
  <hyperlinks>
    <hyperlink ref="I1" location="'Overview'!A1" display="← Back to Overview" xr:uid="{00000000-0004-0000-09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1"/>
  <sheetViews>
    <sheetView workbookViewId="0"/>
  </sheetViews>
  <sheetFormatPr defaultRowHeight="14.5" x14ac:dyDescent="0.35"/>
  <cols>
    <col min="1" max="6" width="30.7265625" customWidth="1"/>
    <col min="7" max="7" width="60.7265625" customWidth="1"/>
    <col min="8" max="8" width="30.7265625" customWidth="1"/>
  </cols>
  <sheetData>
    <row r="1" spans="1:9" ht="29" x14ac:dyDescent="0.35">
      <c r="A1" s="2" t="s">
        <v>137</v>
      </c>
      <c r="I1" s="3" t="s">
        <v>38</v>
      </c>
    </row>
    <row r="3" spans="1:9" x14ac:dyDescent="0.35">
      <c r="A3" s="4" t="s">
        <v>138</v>
      </c>
      <c r="B3" s="4" t="s">
        <v>139</v>
      </c>
      <c r="C3" s="4" t="s">
        <v>140</v>
      </c>
      <c r="D3" s="4" t="s">
        <v>141</v>
      </c>
      <c r="E3" s="4" t="s">
        <v>142</v>
      </c>
      <c r="F3" s="4" t="s">
        <v>143</v>
      </c>
      <c r="G3" s="4" t="s">
        <v>144</v>
      </c>
      <c r="H3" s="4" t="s">
        <v>43</v>
      </c>
    </row>
    <row r="4" spans="1:9" x14ac:dyDescent="0.35">
      <c r="A4" s="2" t="s">
        <v>145</v>
      </c>
      <c r="B4" s="2" t="s">
        <v>146</v>
      </c>
      <c r="C4" s="2" t="s">
        <v>146</v>
      </c>
      <c r="D4" s="2" t="s">
        <v>146</v>
      </c>
      <c r="E4" s="2" t="s">
        <v>146</v>
      </c>
      <c r="F4" s="2" t="s">
        <v>147</v>
      </c>
      <c r="G4" s="2" t="s">
        <v>148</v>
      </c>
      <c r="H4" s="2" t="s">
        <v>149</v>
      </c>
    </row>
    <row r="5" spans="1:9" x14ac:dyDescent="0.35">
      <c r="A5" s="2" t="s">
        <v>150</v>
      </c>
      <c r="B5" s="2" t="s">
        <v>146</v>
      </c>
      <c r="C5" s="2" t="s">
        <v>146</v>
      </c>
      <c r="D5" s="2" t="s">
        <v>146</v>
      </c>
      <c r="E5" s="2" t="s">
        <v>146</v>
      </c>
      <c r="F5" s="2" t="s">
        <v>147</v>
      </c>
      <c r="G5" s="2" t="s">
        <v>151</v>
      </c>
      <c r="H5" s="2" t="s">
        <v>152</v>
      </c>
    </row>
    <row r="6" spans="1:9" x14ac:dyDescent="0.35">
      <c r="A6" s="2" t="s">
        <v>153</v>
      </c>
      <c r="B6" s="2" t="s">
        <v>146</v>
      </c>
      <c r="C6" s="2" t="s">
        <v>146</v>
      </c>
      <c r="D6" s="2" t="s">
        <v>146</v>
      </c>
      <c r="E6" s="2" t="s">
        <v>146</v>
      </c>
      <c r="F6" s="2" t="s">
        <v>147</v>
      </c>
      <c r="G6" s="2" t="s">
        <v>154</v>
      </c>
      <c r="H6" s="2" t="s">
        <v>149</v>
      </c>
    </row>
    <row r="7" spans="1:9" x14ac:dyDescent="0.35">
      <c r="A7" s="2" t="s">
        <v>155</v>
      </c>
      <c r="B7" s="2" t="s">
        <v>146</v>
      </c>
      <c r="C7" s="2" t="s">
        <v>146</v>
      </c>
      <c r="D7" s="2" t="s">
        <v>146</v>
      </c>
      <c r="E7" s="2" t="s">
        <v>146</v>
      </c>
      <c r="F7" s="2" t="s">
        <v>156</v>
      </c>
      <c r="G7" s="2" t="s">
        <v>157</v>
      </c>
      <c r="H7" s="2" t="s">
        <v>158</v>
      </c>
    </row>
    <row r="8" spans="1:9" x14ac:dyDescent="0.35">
      <c r="A8" s="2" t="s">
        <v>159</v>
      </c>
      <c r="B8" s="2" t="s">
        <v>146</v>
      </c>
      <c r="C8" s="2" t="s">
        <v>160</v>
      </c>
      <c r="D8" s="2" t="s">
        <v>160</v>
      </c>
      <c r="E8" s="2" t="s">
        <v>146</v>
      </c>
      <c r="F8" s="2" t="s">
        <v>161</v>
      </c>
      <c r="G8" s="2" t="s">
        <v>162</v>
      </c>
      <c r="H8" s="2" t="s">
        <v>149</v>
      </c>
    </row>
    <row r="9" spans="1:9" x14ac:dyDescent="0.35">
      <c r="A9" s="2" t="s">
        <v>163</v>
      </c>
      <c r="B9" s="2" t="s">
        <v>146</v>
      </c>
      <c r="C9" s="2" t="s">
        <v>160</v>
      </c>
      <c r="D9" s="2" t="s">
        <v>160</v>
      </c>
      <c r="E9" s="2" t="s">
        <v>146</v>
      </c>
      <c r="F9" s="2" t="s">
        <v>161</v>
      </c>
      <c r="G9" s="2" t="s">
        <v>164</v>
      </c>
      <c r="H9" s="2" t="s">
        <v>149</v>
      </c>
    </row>
    <row r="11" spans="1:9" ht="58" x14ac:dyDescent="0.35">
      <c r="A11" s="2" t="s">
        <v>165</v>
      </c>
    </row>
  </sheetData>
  <hyperlinks>
    <hyperlink ref="I1" location="'Overview'!A1" display="← Back to Overview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8"/>
  <sheetViews>
    <sheetView workbookViewId="0"/>
  </sheetViews>
  <sheetFormatPr defaultRowHeight="14.5" x14ac:dyDescent="0.35"/>
  <cols>
    <col min="1" max="6" width="30.7265625" customWidth="1"/>
    <col min="7" max="7" width="60.7265625" customWidth="1"/>
    <col min="8" max="8" width="30.7265625" customWidth="1"/>
  </cols>
  <sheetData>
    <row r="1" spans="1:9" ht="29" x14ac:dyDescent="0.35">
      <c r="A1" s="2" t="s">
        <v>166</v>
      </c>
      <c r="I1" s="3" t="s">
        <v>38</v>
      </c>
    </row>
    <row r="3" spans="1:9" x14ac:dyDescent="0.35">
      <c r="A3" s="4" t="s">
        <v>167</v>
      </c>
      <c r="B3" s="4" t="s">
        <v>168</v>
      </c>
      <c r="C3" s="4" t="s">
        <v>169</v>
      </c>
      <c r="D3" s="4" t="s">
        <v>43</v>
      </c>
    </row>
    <row r="4" spans="1:9" ht="43.5" x14ac:dyDescent="0.35">
      <c r="A4" s="2" t="s">
        <v>170</v>
      </c>
      <c r="B4" s="2" t="s">
        <v>171</v>
      </c>
      <c r="C4" s="2" t="s">
        <v>172</v>
      </c>
      <c r="D4" s="2" t="s">
        <v>46</v>
      </c>
    </row>
    <row r="5" spans="1:9" ht="43.5" x14ac:dyDescent="0.35">
      <c r="A5" s="2" t="s">
        <v>173</v>
      </c>
      <c r="B5" s="2" t="s">
        <v>174</v>
      </c>
      <c r="C5" s="2" t="s">
        <v>175</v>
      </c>
      <c r="D5" s="2" t="s">
        <v>176</v>
      </c>
    </row>
    <row r="6" spans="1:9" ht="43.5" x14ac:dyDescent="0.35">
      <c r="A6" s="2" t="s">
        <v>177</v>
      </c>
      <c r="B6" s="2" t="s">
        <v>178</v>
      </c>
      <c r="C6" s="2" t="s">
        <v>179</v>
      </c>
      <c r="D6" s="2" t="s">
        <v>180</v>
      </c>
    </row>
    <row r="8" spans="1:9" ht="43.5" x14ac:dyDescent="0.35">
      <c r="A8" s="2" t="s">
        <v>181</v>
      </c>
    </row>
  </sheetData>
  <hyperlinks>
    <hyperlink ref="I1" location="'Overview'!A1" display="← Back to Overview" xr:uid="{00000000-0004-0000-0B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9"/>
  <sheetViews>
    <sheetView workbookViewId="0"/>
  </sheetViews>
  <sheetFormatPr defaultRowHeight="14.5" x14ac:dyDescent="0.35"/>
  <cols>
    <col min="1" max="6" width="30.7265625" customWidth="1"/>
    <col min="7" max="7" width="60.7265625" customWidth="1"/>
    <col min="8" max="8" width="30.7265625" customWidth="1"/>
  </cols>
  <sheetData>
    <row r="1" spans="1:9" ht="29" x14ac:dyDescent="0.35">
      <c r="A1" s="2" t="s">
        <v>182</v>
      </c>
      <c r="I1" s="3" t="s">
        <v>38</v>
      </c>
    </row>
    <row r="3" spans="1:9" x14ac:dyDescent="0.35">
      <c r="A3" s="4" t="s">
        <v>183</v>
      </c>
      <c r="B3" s="4" t="s">
        <v>184</v>
      </c>
      <c r="C3" s="4" t="s">
        <v>185</v>
      </c>
      <c r="D3" s="4" t="s">
        <v>186</v>
      </c>
      <c r="E3" s="4" t="s">
        <v>187</v>
      </c>
      <c r="F3" s="4" t="s">
        <v>188</v>
      </c>
      <c r="G3" s="4" t="s">
        <v>189</v>
      </c>
      <c r="H3" s="4" t="s">
        <v>43</v>
      </c>
    </row>
    <row r="4" spans="1:9" x14ac:dyDescent="0.35">
      <c r="A4" s="2" t="s">
        <v>190</v>
      </c>
      <c r="B4" s="2" t="s">
        <v>191</v>
      </c>
      <c r="C4" s="2" t="s">
        <v>191</v>
      </c>
      <c r="D4" s="2" t="s">
        <v>192</v>
      </c>
      <c r="E4" s="2" t="s">
        <v>192</v>
      </c>
      <c r="F4" s="2" t="s">
        <v>191</v>
      </c>
      <c r="G4" s="2" t="s">
        <v>193</v>
      </c>
      <c r="H4" s="2" t="s">
        <v>158</v>
      </c>
    </row>
    <row r="5" spans="1:9" ht="29" x14ac:dyDescent="0.35">
      <c r="A5" s="2" t="s">
        <v>194</v>
      </c>
      <c r="B5" s="2" t="s">
        <v>195</v>
      </c>
      <c r="C5" s="2" t="s">
        <v>191</v>
      </c>
      <c r="D5" s="2" t="s">
        <v>191</v>
      </c>
      <c r="E5" s="2" t="s">
        <v>191</v>
      </c>
      <c r="F5" s="2" t="s">
        <v>196</v>
      </c>
      <c r="G5" s="2" t="s">
        <v>197</v>
      </c>
      <c r="H5" s="2" t="s">
        <v>198</v>
      </c>
    </row>
    <row r="6" spans="1:9" x14ac:dyDescent="0.35">
      <c r="A6" s="2" t="s">
        <v>199</v>
      </c>
      <c r="B6" s="2" t="s">
        <v>192</v>
      </c>
      <c r="C6" s="2" t="s">
        <v>196</v>
      </c>
      <c r="D6" s="2" t="s">
        <v>191</v>
      </c>
      <c r="E6" s="2" t="s">
        <v>196</v>
      </c>
      <c r="F6" s="2" t="s">
        <v>192</v>
      </c>
      <c r="G6" s="2" t="s">
        <v>200</v>
      </c>
      <c r="H6" s="2" t="s">
        <v>158</v>
      </c>
    </row>
    <row r="7" spans="1:9" x14ac:dyDescent="0.35">
      <c r="A7" s="2" t="s">
        <v>201</v>
      </c>
      <c r="B7" s="2" t="s">
        <v>97</v>
      </c>
      <c r="C7" s="2" t="s">
        <v>192</v>
      </c>
      <c r="D7" s="2" t="s">
        <v>192</v>
      </c>
      <c r="E7" s="2" t="s">
        <v>192</v>
      </c>
      <c r="F7" s="2" t="s">
        <v>192</v>
      </c>
      <c r="G7" s="2" t="s">
        <v>202</v>
      </c>
      <c r="H7" s="2" t="s">
        <v>158</v>
      </c>
    </row>
    <row r="9" spans="1:9" ht="58" x14ac:dyDescent="0.35">
      <c r="A9" s="2" t="s">
        <v>203</v>
      </c>
    </row>
  </sheetData>
  <hyperlinks>
    <hyperlink ref="I1" location="'Overview'!A1" display="← Back to Overview" xr:uid="{00000000-0004-0000-0C00-000000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1"/>
  <sheetViews>
    <sheetView workbookViewId="0"/>
  </sheetViews>
  <sheetFormatPr defaultRowHeight="14.5" x14ac:dyDescent="0.35"/>
  <cols>
    <col min="1" max="6" width="30.7265625" customWidth="1"/>
    <col min="7" max="7" width="60.7265625" customWidth="1"/>
    <col min="8" max="8" width="30.7265625" customWidth="1"/>
  </cols>
  <sheetData>
    <row r="1" spans="1:9" ht="29" x14ac:dyDescent="0.35">
      <c r="A1" s="2" t="s">
        <v>204</v>
      </c>
      <c r="I1" s="3" t="s">
        <v>38</v>
      </c>
    </row>
    <row r="3" spans="1:9" x14ac:dyDescent="0.35">
      <c r="A3" s="4" t="s">
        <v>205</v>
      </c>
      <c r="B3" s="4" t="s">
        <v>206</v>
      </c>
      <c r="C3" s="4" t="s">
        <v>207</v>
      </c>
      <c r="D3" s="4" t="s">
        <v>43</v>
      </c>
    </row>
    <row r="4" spans="1:9" ht="29" x14ac:dyDescent="0.35">
      <c r="A4" s="2" t="s">
        <v>208</v>
      </c>
      <c r="B4" s="2" t="s">
        <v>209</v>
      </c>
      <c r="C4" s="2" t="s">
        <v>98</v>
      </c>
      <c r="D4" s="2" t="s">
        <v>210</v>
      </c>
    </row>
    <row r="5" spans="1:9" ht="43.5" x14ac:dyDescent="0.35">
      <c r="A5" s="2" t="s">
        <v>211</v>
      </c>
      <c r="B5" s="2" t="s">
        <v>212</v>
      </c>
      <c r="C5" s="2" t="s">
        <v>98</v>
      </c>
      <c r="D5" s="2" t="s">
        <v>210</v>
      </c>
    </row>
    <row r="6" spans="1:9" x14ac:dyDescent="0.35">
      <c r="A6" s="2" t="s">
        <v>213</v>
      </c>
      <c r="B6" s="2" t="s">
        <v>214</v>
      </c>
      <c r="C6" s="2" t="s">
        <v>98</v>
      </c>
      <c r="D6" s="2" t="s">
        <v>210</v>
      </c>
    </row>
    <row r="7" spans="1:9" ht="29" x14ac:dyDescent="0.35">
      <c r="A7" s="2" t="s">
        <v>215</v>
      </c>
      <c r="B7" s="2" t="s">
        <v>216</v>
      </c>
      <c r="C7" s="2" t="s">
        <v>217</v>
      </c>
      <c r="D7" s="2" t="s">
        <v>218</v>
      </c>
    </row>
    <row r="8" spans="1:9" ht="43.5" x14ac:dyDescent="0.35">
      <c r="A8" s="2" t="s">
        <v>219</v>
      </c>
      <c r="B8" s="2" t="s">
        <v>220</v>
      </c>
      <c r="C8" s="2" t="s">
        <v>98</v>
      </c>
      <c r="D8" s="2" t="s">
        <v>210</v>
      </c>
    </row>
    <row r="9" spans="1:9" x14ac:dyDescent="0.35">
      <c r="A9" s="2" t="s">
        <v>221</v>
      </c>
      <c r="B9" s="2" t="s">
        <v>222</v>
      </c>
      <c r="C9" s="2" t="s">
        <v>98</v>
      </c>
      <c r="D9" s="2" t="s">
        <v>81</v>
      </c>
    </row>
    <row r="11" spans="1:9" ht="58" x14ac:dyDescent="0.35">
      <c r="A11" s="2" t="s">
        <v>223</v>
      </c>
    </row>
  </sheetData>
  <hyperlinks>
    <hyperlink ref="I1" location="'Overview'!A1" display="← Back to Overview" xr:uid="{00000000-0004-0000-0D00-000000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2"/>
  <sheetViews>
    <sheetView workbookViewId="0"/>
  </sheetViews>
  <sheetFormatPr defaultRowHeight="14.5" x14ac:dyDescent="0.35"/>
  <cols>
    <col min="1" max="6" width="30.7265625" customWidth="1"/>
    <col min="7" max="7" width="60.7265625" customWidth="1"/>
    <col min="8" max="8" width="30.7265625" customWidth="1"/>
  </cols>
  <sheetData>
    <row r="1" spans="1:9" ht="29" x14ac:dyDescent="0.35">
      <c r="A1" s="2" t="s">
        <v>224</v>
      </c>
      <c r="I1" s="3" t="s">
        <v>38</v>
      </c>
    </row>
    <row r="3" spans="1:9" x14ac:dyDescent="0.35">
      <c r="A3" s="4" t="s">
        <v>225</v>
      </c>
      <c r="B3" s="4" t="s">
        <v>226</v>
      </c>
      <c r="C3" s="4" t="s">
        <v>227</v>
      </c>
      <c r="D3" s="4" t="s">
        <v>41</v>
      </c>
      <c r="E3" s="4" t="s">
        <v>43</v>
      </c>
    </row>
    <row r="4" spans="1:9" x14ac:dyDescent="0.35">
      <c r="A4" s="2" t="s">
        <v>228</v>
      </c>
      <c r="B4" s="2" t="s">
        <v>229</v>
      </c>
      <c r="C4" s="2" t="s">
        <v>61</v>
      </c>
      <c r="D4" s="2" t="s">
        <v>230</v>
      </c>
      <c r="E4" s="2" t="s">
        <v>63</v>
      </c>
    </row>
    <row r="5" spans="1:9" ht="29" x14ac:dyDescent="0.35">
      <c r="A5" s="2" t="s">
        <v>228</v>
      </c>
      <c r="B5" s="2" t="s">
        <v>229</v>
      </c>
      <c r="C5" s="2" t="s">
        <v>231</v>
      </c>
      <c r="D5" s="2" t="s">
        <v>232</v>
      </c>
      <c r="E5" s="2" t="s">
        <v>60</v>
      </c>
    </row>
    <row r="6" spans="1:9" x14ac:dyDescent="0.35">
      <c r="A6" s="2" t="s">
        <v>233</v>
      </c>
      <c r="B6" s="2" t="s">
        <v>234</v>
      </c>
      <c r="C6" s="2" t="s">
        <v>235</v>
      </c>
      <c r="D6" s="2" t="s">
        <v>236</v>
      </c>
      <c r="E6" s="2" t="s">
        <v>63</v>
      </c>
    </row>
    <row r="7" spans="1:9" ht="29" x14ac:dyDescent="0.35">
      <c r="A7" s="2" t="s">
        <v>233</v>
      </c>
      <c r="B7" s="2" t="s">
        <v>234</v>
      </c>
      <c r="C7" s="2" t="s">
        <v>237</v>
      </c>
      <c r="D7" s="2" t="s">
        <v>238</v>
      </c>
      <c r="E7" s="2" t="s">
        <v>63</v>
      </c>
    </row>
    <row r="8" spans="1:9" x14ac:dyDescent="0.35">
      <c r="A8" s="2" t="s">
        <v>239</v>
      </c>
      <c r="B8" s="2" t="s">
        <v>240</v>
      </c>
      <c r="C8" s="2" t="s">
        <v>241</v>
      </c>
      <c r="D8" s="2" t="s">
        <v>242</v>
      </c>
      <c r="E8" s="2" t="s">
        <v>63</v>
      </c>
    </row>
    <row r="9" spans="1:9" x14ac:dyDescent="0.35">
      <c r="A9" s="2" t="s">
        <v>239</v>
      </c>
      <c r="B9" s="2" t="s">
        <v>240</v>
      </c>
      <c r="C9" s="2" t="s">
        <v>243</v>
      </c>
      <c r="D9" s="2" t="s">
        <v>244</v>
      </c>
      <c r="E9" s="2" t="s">
        <v>63</v>
      </c>
    </row>
    <row r="10" spans="1:9" ht="29" x14ac:dyDescent="0.35">
      <c r="A10" s="2" t="s">
        <v>239</v>
      </c>
      <c r="B10" s="2" t="s">
        <v>240</v>
      </c>
      <c r="C10" s="2" t="s">
        <v>245</v>
      </c>
      <c r="D10" s="2" t="s">
        <v>246</v>
      </c>
      <c r="E10" s="2" t="s">
        <v>63</v>
      </c>
    </row>
    <row r="12" spans="1:9" ht="43.5" x14ac:dyDescent="0.35">
      <c r="A12" s="2" t="s">
        <v>247</v>
      </c>
    </row>
  </sheetData>
  <hyperlinks>
    <hyperlink ref="I1" location="'Overview'!A1" display="← Back to Overview" xr:uid="{00000000-0004-0000-0E00-000000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0"/>
  <sheetViews>
    <sheetView workbookViewId="0"/>
  </sheetViews>
  <sheetFormatPr defaultRowHeight="14.5" x14ac:dyDescent="0.35"/>
  <cols>
    <col min="1" max="6" width="30.7265625" customWidth="1"/>
    <col min="7" max="7" width="60.7265625" customWidth="1"/>
    <col min="8" max="8" width="30.7265625" customWidth="1"/>
  </cols>
  <sheetData>
    <row r="1" spans="1:9" ht="29" x14ac:dyDescent="0.35">
      <c r="A1" s="2" t="s">
        <v>248</v>
      </c>
      <c r="I1" s="3" t="s">
        <v>38</v>
      </c>
    </row>
    <row r="3" spans="1:9" x14ac:dyDescent="0.35">
      <c r="A3" s="4" t="s">
        <v>249</v>
      </c>
      <c r="B3" s="4" t="s">
        <v>250</v>
      </c>
      <c r="C3" s="4" t="s">
        <v>251</v>
      </c>
      <c r="D3" s="4" t="s">
        <v>252</v>
      </c>
      <c r="E3" s="4" t="s">
        <v>253</v>
      </c>
    </row>
    <row r="4" spans="1:9" ht="58" x14ac:dyDescent="0.35">
      <c r="A4" s="2" t="s">
        <v>149</v>
      </c>
      <c r="B4" s="2" t="s">
        <v>254</v>
      </c>
      <c r="C4" s="2" t="s">
        <v>255</v>
      </c>
      <c r="D4" s="2" t="s">
        <v>116</v>
      </c>
      <c r="E4" s="2" t="s">
        <v>256</v>
      </c>
    </row>
    <row r="5" spans="1:9" ht="43.5" x14ac:dyDescent="0.35">
      <c r="A5" s="2" t="s">
        <v>128</v>
      </c>
      <c r="B5" s="2" t="s">
        <v>257</v>
      </c>
      <c r="C5" s="2" t="s">
        <v>258</v>
      </c>
      <c r="D5" s="2" t="s">
        <v>116</v>
      </c>
      <c r="E5" s="2" t="s">
        <v>259</v>
      </c>
    </row>
    <row r="6" spans="1:9" ht="43.5" x14ac:dyDescent="0.35">
      <c r="A6" s="2" t="s">
        <v>210</v>
      </c>
      <c r="B6" s="2" t="s">
        <v>260</v>
      </c>
      <c r="C6" s="2" t="s">
        <v>261</v>
      </c>
      <c r="D6" s="2" t="s">
        <v>116</v>
      </c>
      <c r="E6" s="2" t="s">
        <v>262</v>
      </c>
    </row>
    <row r="7" spans="1:9" ht="43.5" x14ac:dyDescent="0.35">
      <c r="A7" s="2" t="s">
        <v>263</v>
      </c>
      <c r="B7" s="2" t="s">
        <v>264</v>
      </c>
      <c r="C7" s="2" t="s">
        <v>255</v>
      </c>
      <c r="D7" s="2" t="s">
        <v>116</v>
      </c>
      <c r="E7" s="2" t="s">
        <v>265</v>
      </c>
    </row>
    <row r="8" spans="1:9" ht="43.5" x14ac:dyDescent="0.35">
      <c r="A8" s="2" t="s">
        <v>266</v>
      </c>
      <c r="B8" s="2" t="s">
        <v>267</v>
      </c>
      <c r="C8" s="2" t="s">
        <v>255</v>
      </c>
      <c r="D8" s="2" t="s">
        <v>116</v>
      </c>
      <c r="E8" s="2" t="s">
        <v>268</v>
      </c>
    </row>
    <row r="9" spans="1:9" ht="58" x14ac:dyDescent="0.35">
      <c r="A9" s="2" t="s">
        <v>269</v>
      </c>
      <c r="B9" s="2" t="s">
        <v>270</v>
      </c>
      <c r="C9" s="2" t="s">
        <v>255</v>
      </c>
      <c r="D9" s="2" t="s">
        <v>116</v>
      </c>
      <c r="E9" s="2" t="s">
        <v>271</v>
      </c>
    </row>
    <row r="10" spans="1:9" ht="29" x14ac:dyDescent="0.35">
      <c r="A10" s="2" t="s">
        <v>272</v>
      </c>
      <c r="B10" s="2" t="s">
        <v>273</v>
      </c>
      <c r="C10" s="2" t="s">
        <v>274</v>
      </c>
      <c r="D10" s="2" t="s">
        <v>116</v>
      </c>
      <c r="E10" s="2" t="s">
        <v>275</v>
      </c>
    </row>
    <row r="11" spans="1:9" ht="58" x14ac:dyDescent="0.35">
      <c r="A11" s="2" t="s">
        <v>107</v>
      </c>
      <c r="B11" s="2" t="s">
        <v>276</v>
      </c>
      <c r="C11" s="2" t="s">
        <v>277</v>
      </c>
      <c r="D11" s="2" t="s">
        <v>116</v>
      </c>
      <c r="E11" s="2" t="s">
        <v>278</v>
      </c>
    </row>
    <row r="12" spans="1:9" ht="43.5" x14ac:dyDescent="0.35">
      <c r="A12" s="2" t="s">
        <v>218</v>
      </c>
      <c r="B12" s="2" t="s">
        <v>279</v>
      </c>
      <c r="C12" s="2" t="s">
        <v>261</v>
      </c>
      <c r="D12" s="2" t="s">
        <v>280</v>
      </c>
      <c r="E12" s="2" t="s">
        <v>281</v>
      </c>
    </row>
    <row r="13" spans="1:9" ht="29" x14ac:dyDescent="0.35">
      <c r="A13" s="2" t="s">
        <v>46</v>
      </c>
      <c r="B13" s="2" t="s">
        <v>282</v>
      </c>
      <c r="C13" s="2" t="s">
        <v>283</v>
      </c>
      <c r="D13" s="2" t="s">
        <v>116</v>
      </c>
      <c r="E13" s="2" t="s">
        <v>284</v>
      </c>
    </row>
    <row r="14" spans="1:9" ht="29" x14ac:dyDescent="0.35">
      <c r="A14" s="2" t="s">
        <v>63</v>
      </c>
      <c r="B14" s="2" t="s">
        <v>285</v>
      </c>
      <c r="C14" s="2" t="s">
        <v>283</v>
      </c>
      <c r="D14" s="2" t="s">
        <v>116</v>
      </c>
      <c r="E14" s="2" t="s">
        <v>286</v>
      </c>
    </row>
    <row r="15" spans="1:9" ht="43.5" x14ac:dyDescent="0.35">
      <c r="A15" s="2" t="s">
        <v>60</v>
      </c>
      <c r="B15" s="2" t="s">
        <v>287</v>
      </c>
      <c r="C15" s="2" t="s">
        <v>283</v>
      </c>
      <c r="D15" s="2" t="s">
        <v>116</v>
      </c>
      <c r="E15" s="2" t="s">
        <v>288</v>
      </c>
    </row>
    <row r="16" spans="1:9" ht="43.5" x14ac:dyDescent="0.35">
      <c r="A16" s="2" t="s">
        <v>65</v>
      </c>
      <c r="B16" s="2" t="s">
        <v>289</v>
      </c>
      <c r="C16" s="2" t="s">
        <v>283</v>
      </c>
      <c r="D16" s="2" t="s">
        <v>116</v>
      </c>
      <c r="E16" s="2" t="s">
        <v>290</v>
      </c>
    </row>
    <row r="17" spans="1:5" ht="29" x14ac:dyDescent="0.35">
      <c r="A17" s="2" t="s">
        <v>75</v>
      </c>
      <c r="B17" s="2" t="s">
        <v>291</v>
      </c>
      <c r="C17" s="2" t="s">
        <v>292</v>
      </c>
      <c r="D17" s="2" t="s">
        <v>116</v>
      </c>
      <c r="E17" s="2" t="s">
        <v>293</v>
      </c>
    </row>
    <row r="18" spans="1:5" ht="29" x14ac:dyDescent="0.35">
      <c r="A18" s="2" t="s">
        <v>81</v>
      </c>
      <c r="B18" s="2" t="s">
        <v>294</v>
      </c>
      <c r="C18" s="2" t="s">
        <v>292</v>
      </c>
      <c r="D18" s="2" t="s">
        <v>116</v>
      </c>
      <c r="E18" s="2" t="s">
        <v>295</v>
      </c>
    </row>
    <row r="20" spans="1:5" ht="72.5" x14ac:dyDescent="0.35">
      <c r="A20" s="2" t="s">
        <v>296</v>
      </c>
    </row>
  </sheetData>
  <hyperlinks>
    <hyperlink ref="I1" location="'Overview'!A1" display="← Back to Overview" xr:uid="{00000000-0004-0000-0F00-000000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9"/>
  <sheetViews>
    <sheetView workbookViewId="0"/>
  </sheetViews>
  <sheetFormatPr defaultRowHeight="14.5" x14ac:dyDescent="0.35"/>
  <cols>
    <col min="1" max="6" width="30.7265625" customWidth="1"/>
    <col min="7" max="7" width="60.7265625" customWidth="1"/>
    <col min="8" max="8" width="30.7265625" customWidth="1"/>
  </cols>
  <sheetData>
    <row r="1" spans="1:9" ht="29" x14ac:dyDescent="0.35">
      <c r="A1" s="2" t="s">
        <v>297</v>
      </c>
      <c r="I1" s="3" t="s">
        <v>38</v>
      </c>
    </row>
    <row r="3" spans="1:9" x14ac:dyDescent="0.35">
      <c r="A3" s="4" t="s">
        <v>298</v>
      </c>
      <c r="B3" s="4" t="s">
        <v>299</v>
      </c>
      <c r="C3" s="4" t="s">
        <v>300</v>
      </c>
      <c r="D3" s="4" t="s">
        <v>301</v>
      </c>
      <c r="E3" s="4" t="s">
        <v>302</v>
      </c>
    </row>
    <row r="4" spans="1:9" x14ac:dyDescent="0.35">
      <c r="A4" s="2" t="s">
        <v>303</v>
      </c>
      <c r="B4" s="2" t="s">
        <v>304</v>
      </c>
      <c r="C4" s="2" t="s">
        <v>305</v>
      </c>
      <c r="D4" s="2" t="s">
        <v>306</v>
      </c>
      <c r="E4" s="2" t="s">
        <v>307</v>
      </c>
    </row>
    <row r="5" spans="1:9" x14ac:dyDescent="0.35">
      <c r="A5" s="2" t="s">
        <v>308</v>
      </c>
      <c r="B5" s="2" t="s">
        <v>309</v>
      </c>
      <c r="C5" s="2" t="s">
        <v>310</v>
      </c>
      <c r="D5" s="2" t="s">
        <v>311</v>
      </c>
      <c r="E5" s="2" t="s">
        <v>312</v>
      </c>
    </row>
    <row r="6" spans="1:9" ht="29" x14ac:dyDescent="0.35">
      <c r="A6" s="2" t="s">
        <v>313</v>
      </c>
      <c r="B6" s="2" t="s">
        <v>314</v>
      </c>
      <c r="C6" s="2" t="s">
        <v>315</v>
      </c>
      <c r="D6" s="2" t="s">
        <v>316</v>
      </c>
      <c r="E6" s="2" t="s">
        <v>317</v>
      </c>
    </row>
    <row r="7" spans="1:9" ht="29" x14ac:dyDescent="0.35">
      <c r="A7" s="2" t="s">
        <v>318</v>
      </c>
      <c r="B7" s="2" t="s">
        <v>319</v>
      </c>
      <c r="C7" s="2" t="s">
        <v>320</v>
      </c>
      <c r="D7" s="2" t="s">
        <v>321</v>
      </c>
      <c r="E7" s="2" t="s">
        <v>322</v>
      </c>
    </row>
    <row r="9" spans="1:9" ht="43.5" x14ac:dyDescent="0.35">
      <c r="A9" s="2" t="s">
        <v>323</v>
      </c>
    </row>
  </sheetData>
  <hyperlinks>
    <hyperlink ref="I1" location="'Overview'!A1" display="← Back to Overview" xr:uid="{00000000-0004-0000-1000-000000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2"/>
  <sheetViews>
    <sheetView workbookViewId="0"/>
  </sheetViews>
  <sheetFormatPr defaultRowHeight="14.5" x14ac:dyDescent="0.35"/>
  <cols>
    <col min="1" max="6" width="30.7265625" customWidth="1"/>
    <col min="7" max="7" width="60.7265625" customWidth="1"/>
    <col min="8" max="8" width="30.7265625" customWidth="1"/>
  </cols>
  <sheetData>
    <row r="1" spans="1:9" ht="29" x14ac:dyDescent="0.35">
      <c r="A1" s="2" t="s">
        <v>324</v>
      </c>
      <c r="I1" s="3" t="s">
        <v>38</v>
      </c>
    </row>
    <row r="3" spans="1:9" x14ac:dyDescent="0.35">
      <c r="A3" s="4" t="s">
        <v>325</v>
      </c>
      <c r="B3" s="4" t="s">
        <v>207</v>
      </c>
      <c r="C3" s="4" t="s">
        <v>326</v>
      </c>
      <c r="D3" s="4" t="s">
        <v>253</v>
      </c>
    </row>
    <row r="4" spans="1:9" ht="29" x14ac:dyDescent="0.35">
      <c r="A4" s="2" t="s">
        <v>327</v>
      </c>
      <c r="B4" s="2" t="s">
        <v>307</v>
      </c>
      <c r="C4" s="2" t="s">
        <v>328</v>
      </c>
      <c r="D4" s="2" t="s">
        <v>329</v>
      </c>
    </row>
    <row r="5" spans="1:9" ht="29" x14ac:dyDescent="0.35">
      <c r="A5" s="2" t="s">
        <v>330</v>
      </c>
      <c r="B5" s="2" t="s">
        <v>307</v>
      </c>
      <c r="C5" s="2" t="s">
        <v>331</v>
      </c>
      <c r="D5" s="2" t="s">
        <v>332</v>
      </c>
    </row>
    <row r="6" spans="1:9" ht="43.5" x14ac:dyDescent="0.35">
      <c r="A6" s="2" t="s">
        <v>333</v>
      </c>
      <c r="B6" s="2" t="s">
        <v>334</v>
      </c>
      <c r="C6" s="2" t="s">
        <v>335</v>
      </c>
      <c r="D6" s="2" t="s">
        <v>336</v>
      </c>
    </row>
    <row r="7" spans="1:9" x14ac:dyDescent="0.35">
      <c r="A7" s="2" t="s">
        <v>337</v>
      </c>
      <c r="B7" s="2" t="s">
        <v>338</v>
      </c>
      <c r="C7" s="2" t="s">
        <v>339</v>
      </c>
      <c r="D7" s="2" t="s">
        <v>340</v>
      </c>
    </row>
    <row r="8" spans="1:9" ht="29" x14ac:dyDescent="0.35">
      <c r="A8" s="2" t="s">
        <v>341</v>
      </c>
      <c r="B8" s="2" t="s">
        <v>342</v>
      </c>
      <c r="C8" s="2" t="s">
        <v>335</v>
      </c>
      <c r="D8" s="2" t="s">
        <v>343</v>
      </c>
    </row>
    <row r="9" spans="1:9" x14ac:dyDescent="0.35">
      <c r="A9" s="2" t="s">
        <v>344</v>
      </c>
      <c r="B9" s="2" t="s">
        <v>342</v>
      </c>
      <c r="C9" s="2" t="s">
        <v>345</v>
      </c>
      <c r="D9" s="2" t="s">
        <v>346</v>
      </c>
    </row>
    <row r="10" spans="1:9" x14ac:dyDescent="0.35">
      <c r="A10" s="2" t="s">
        <v>347</v>
      </c>
      <c r="B10" s="2" t="s">
        <v>342</v>
      </c>
      <c r="C10" s="2" t="s">
        <v>348</v>
      </c>
      <c r="D10" s="2" t="s">
        <v>349</v>
      </c>
    </row>
    <row r="12" spans="1:9" ht="43.5" x14ac:dyDescent="0.35">
      <c r="A12" s="2" t="s">
        <v>350</v>
      </c>
    </row>
  </sheetData>
  <hyperlinks>
    <hyperlink ref="I1" location="'Overview'!A1" display="← Back to Overview" xr:uid="{00000000-0004-0000-1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5</vt:i4>
      </vt:variant>
    </vt:vector>
  </HeadingPairs>
  <TitlesOfParts>
    <vt:vector size="23" baseType="lpstr">
      <vt:lpstr>Overview</vt:lpstr>
      <vt:lpstr>Starbucks</vt:lpstr>
      <vt:lpstr>Nepal</vt:lpstr>
      <vt:lpstr>Strategy</vt:lpstr>
      <vt:lpstr>Sources</vt:lpstr>
      <vt:lpstr>_calc</vt:lpstr>
      <vt:lpstr>Starbucks Financial data</vt:lpstr>
      <vt:lpstr>2_Nepal_Macroeconomic</vt:lpstr>
      <vt:lpstr>3_Nepal_Coffee</vt:lpstr>
      <vt:lpstr>4_Hofstede</vt:lpstr>
      <vt:lpstr>5_RBV_VRIN</vt:lpstr>
      <vt:lpstr>6_OLI</vt:lpstr>
      <vt:lpstr>7_Entry_Mode</vt:lpstr>
      <vt:lpstr>8_FITTA_FDI</vt:lpstr>
      <vt:lpstr>9_SDG_Data</vt:lpstr>
      <vt:lpstr>10_Citation_Audit</vt:lpstr>
      <vt:lpstr>11_Derived_Calcs</vt:lpstr>
      <vt:lpstr>12_Verification_Exceptions</vt:lpstr>
      <vt:lpstr>Nepal!Print_Area</vt:lpstr>
      <vt:lpstr>Overview!Print_Area</vt:lpstr>
      <vt:lpstr>Sources!Print_Area</vt:lpstr>
      <vt:lpstr>Starbucks!Print_Area</vt:lpstr>
      <vt:lpstr>Strategy!Print_Area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Starbucks x Nepal Entry Dashboard</dc:title>
  <dc:creator/>
  <cp:lastModifiedBy>Subash Gauchan</cp:lastModifiedBy>
  <dcterms:created xsi:type="dcterms:W3CDTF">2026-10-08T02:01:19Z</dcterms:created>
  <dcterms:modified xsi:type="dcterms:W3CDTF">2026-10-10T00:13:26Z</dcterms:modified>
</cp:coreProperties>
</file>